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c292847c68967d4e/Documents/UET/OBE/Agri/"/>
    </mc:Choice>
  </mc:AlternateContent>
  <xr:revisionPtr revIDLastSave="2" documentId="8_{143D9E08-FB8A-4CAF-BABF-62AC46B7E70B}" xr6:coauthVersionLast="47" xr6:coauthVersionMax="47" xr10:uidLastSave="{FE7E17CD-9444-443B-807D-EC5E7F5EE1BB}"/>
  <bookViews>
    <workbookView xWindow="-108" yWindow="-108" windowWidth="23256" windowHeight="12456" tabRatio="629" activeTab="2" xr2:uid="{00000000-000D-0000-FFFF-FFFF00000000}"/>
  </bookViews>
  <sheets>
    <sheet name="Main" sheetId="1" r:id="rId1"/>
    <sheet name="update" sheetId="132" state="hidden" r:id="rId2"/>
    <sheet name="LICENSE" sheetId="133" r:id="rId3"/>
    <sheet name="CAReport" sheetId="97" state="hidden" r:id="rId4"/>
    <sheet name="CETF7" sheetId="91" state="hidden" r:id="rId5"/>
    <sheet name="RCharts" sheetId="49" state="hidden" r:id="rId6"/>
    <sheet name="DatabaseSetup" sheetId="28" state="hidden" r:id="rId7"/>
    <sheet name="CLOPLOs" sheetId="4" state="hidden" r:id="rId8"/>
    <sheet name="BatchData" sheetId="9" state="hidden" r:id="rId9"/>
    <sheet name="BatchList" sheetId="29" state="hidden" r:id="rId10"/>
    <sheet name="CoursesFaculty" sheetId="30" state="hidden" r:id="rId11"/>
    <sheet name="CM" sheetId="27" state="hidden" r:id="rId12"/>
    <sheet name="template" sheetId="3" state="hidden" r:id="rId13"/>
  </sheets>
  <functionGroups builtInGroupCount="19"/>
  <definedNames>
    <definedName name="_xlnm._FilterDatabase" localSheetId="3" hidden="1">CAReport!$A$8:$J$8</definedName>
    <definedName name="_xlnm._FilterDatabase" localSheetId="7" hidden="1">CLOPLOs!$J$2:$Q$221</definedName>
    <definedName name="_xlnm._FilterDatabase" localSheetId="0" hidden="1">Main!$B$14:$F$15</definedName>
    <definedName name="_xlnm.Criteria" localSheetId="0">Main!$AX$1:$AX$2</definedName>
    <definedName name="ExternalData_1" localSheetId="8" hidden="1">BatchData!$A$1:$D$229</definedName>
    <definedName name="ExternalData_1" localSheetId="9" hidden="1">BatchList!$A$1:$B$22</definedName>
    <definedName name="ExternalData_1" localSheetId="7" hidden="1">CLOPLOs!$A$1:$H$4</definedName>
    <definedName name="ExternalData_1" localSheetId="11" hidden="1">CM!$A$1:$C$2</definedName>
    <definedName name="ExternalData_1" localSheetId="1" hidden="1">update!$A$1:$C$2</definedName>
    <definedName name="ExternalData_2" localSheetId="10" hidden="1">CoursesFaculty!$A$1:$M$111</definedName>
    <definedName name="_xlnm.Extract" localSheetId="0">Main!$B$15:$F$15</definedName>
    <definedName name="howto" localSheetId="2">LICENSE!$A$205</definedName>
    <definedName name="_xlnm.Print_Area" localSheetId="3">CAReport!$A:$J</definedName>
    <definedName name="_xlnm.Print_Area" localSheetId="4">CETF7!$A$1:$H$89</definedName>
    <definedName name="_xlnm.Print_Titles" localSheetId="3">CAReport!$1:$8</definedName>
    <definedName name="_xlnm.Print_Titles" localSheetId="4">CETF7!$1:$3</definedName>
    <definedName name="section0" localSheetId="2">LICENSE!$A$27</definedName>
    <definedName name="section1" localSheetId="2">LICENSE!$A$45</definedName>
    <definedName name="section10" localSheetId="2">LICENSE!$A$147</definedName>
    <definedName name="section11" localSheetId="2">LICENSE!$A$155</definedName>
    <definedName name="section12" localSheetId="2">LICENSE!$A$173</definedName>
    <definedName name="section13" localSheetId="2">LICENSE!$A$177</definedName>
    <definedName name="section14" localSheetId="2">LICENSE!$A$181</definedName>
    <definedName name="section15" localSheetId="2">LICENSE!$A$191</definedName>
    <definedName name="section16" localSheetId="2">LICENSE!$A$195</definedName>
    <definedName name="section17" localSheetId="2">LICENSE!$A$199</definedName>
    <definedName name="section2" localSheetId="2">LICENSE!$A$59</definedName>
    <definedName name="section3" localSheetId="2">LICENSE!$A$67</definedName>
    <definedName name="section4" localSheetId="2">LICENSE!$A$73</definedName>
    <definedName name="section5" localSheetId="2">LICENSE!$A$79</definedName>
    <definedName name="section6" localSheetId="2">LICENSE!$A$90</definedName>
    <definedName name="section7" localSheetId="2">LICENSE!$A$112</definedName>
    <definedName name="section8" localSheetId="2">LICENSE!$A$133</definedName>
    <definedName name="section9" localSheetId="2">LICENSE!$A$143</definedName>
    <definedName name="terms" localSheetId="2">LICENSE!$A$25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A2" i="1"/>
  <c r="F1" i="132" l="1" a="1"/>
  <c r="F1" i="132" s="1"/>
  <c r="K10" i="97" l="1"/>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K53" i="97"/>
  <c r="K54" i="97"/>
  <c r="K55" i="97"/>
  <c r="K56" i="97"/>
  <c r="K57" i="97"/>
  <c r="K58" i="97"/>
  <c r="K59" i="97"/>
  <c r="K60" i="97"/>
  <c r="K61" i="97"/>
  <c r="K62" i="97"/>
  <c r="K63" i="97"/>
  <c r="K64" i="97"/>
  <c r="K65" i="97"/>
  <c r="K66" i="97"/>
  <c r="K67" i="97"/>
  <c r="K68" i="97"/>
  <c r="K69" i="97"/>
  <c r="K70" i="97"/>
  <c r="K71" i="97"/>
  <c r="K72" i="97"/>
  <c r="K73" i="97"/>
  <c r="K74" i="97"/>
  <c r="K75" i="97"/>
  <c r="K76" i="97"/>
  <c r="K77" i="97"/>
  <c r="K78" i="97"/>
  <c r="K79" i="97"/>
  <c r="K80" i="97"/>
  <c r="K81" i="97"/>
  <c r="K82" i="97"/>
  <c r="K83" i="97"/>
  <c r="K84" i="97"/>
  <c r="K85" i="97"/>
  <c r="K86" i="97"/>
  <c r="K87" i="97"/>
  <c r="K88" i="97"/>
  <c r="K89" i="97"/>
  <c r="K90" i="97"/>
  <c r="K91" i="97"/>
  <c r="K92" i="97"/>
  <c r="K93" i="97"/>
  <c r="K94" i="97"/>
  <c r="K95" i="97"/>
  <c r="K96" i="97"/>
  <c r="K97" i="97"/>
  <c r="K98" i="97"/>
  <c r="K99" i="97"/>
  <c r="K100" i="97"/>
  <c r="K101" i="97"/>
  <c r="K102" i="97"/>
  <c r="K103" i="97"/>
  <c r="K104" i="97"/>
  <c r="K105" i="97"/>
  <c r="K106" i="97"/>
  <c r="K107" i="97"/>
  <c r="K108" i="97"/>
  <c r="K109" i="97"/>
  <c r="K110" i="97"/>
  <c r="K111" i="97"/>
  <c r="K112" i="97"/>
  <c r="K113" i="97"/>
  <c r="K114" i="97"/>
  <c r="K115" i="97"/>
  <c r="K116" i="97"/>
  <c r="K117" i="97"/>
  <c r="K118" i="97"/>
  <c r="K119" i="97"/>
  <c r="K120" i="97"/>
  <c r="K121" i="97"/>
  <c r="K122" i="97"/>
  <c r="K123" i="97"/>
  <c r="K124" i="97"/>
  <c r="K125" i="97"/>
  <c r="K126" i="97"/>
  <c r="K127" i="97"/>
  <c r="K128" i="97"/>
  <c r="K129" i="97"/>
  <c r="K130" i="97"/>
  <c r="K131" i="97"/>
  <c r="K132" i="97"/>
  <c r="K133" i="97"/>
  <c r="K134" i="97"/>
  <c r="K135" i="97"/>
  <c r="K136" i="97"/>
  <c r="K137" i="97"/>
  <c r="K138" i="97"/>
  <c r="K139" i="97"/>
  <c r="K140" i="97"/>
  <c r="K141" i="97"/>
  <c r="K142" i="97"/>
  <c r="K143" i="97"/>
  <c r="K144" i="97"/>
  <c r="K145" i="97"/>
  <c r="K146" i="97"/>
  <c r="K147" i="97"/>
  <c r="K148" i="97"/>
  <c r="K149" i="97"/>
  <c r="K150" i="97"/>
  <c r="K151" i="97"/>
  <c r="K152" i="97"/>
  <c r="K153" i="97"/>
  <c r="K154" i="97"/>
  <c r="K155" i="97"/>
  <c r="K156" i="97"/>
  <c r="K157" i="97"/>
  <c r="K158" i="97"/>
  <c r="K159" i="97"/>
  <c r="K160" i="97"/>
  <c r="K161" i="97"/>
  <c r="K162" i="97"/>
  <c r="K163" i="97"/>
  <c r="K164" i="97"/>
  <c r="K165" i="97"/>
  <c r="K166" i="97"/>
  <c r="K167" i="97"/>
  <c r="K168" i="97"/>
  <c r="K169" i="97"/>
  <c r="K170" i="97"/>
  <c r="K171" i="97"/>
  <c r="K172" i="97"/>
  <c r="K173" i="97"/>
  <c r="K174" i="97"/>
  <c r="K175" i="97"/>
  <c r="K176" i="97"/>
  <c r="K177" i="97"/>
  <c r="K178" i="97"/>
  <c r="K179" i="97"/>
  <c r="K180" i="97"/>
  <c r="K181" i="97"/>
  <c r="K182" i="97"/>
  <c r="K183" i="97"/>
  <c r="K184" i="97"/>
  <c r="K185" i="97"/>
  <c r="K186" i="97"/>
  <c r="K187" i="97"/>
  <c r="K188" i="97"/>
  <c r="K189" i="97"/>
  <c r="K190" i="97"/>
  <c r="K191" i="97"/>
  <c r="K192" i="97"/>
  <c r="K193" i="97"/>
  <c r="K194" i="97"/>
  <c r="K195" i="97"/>
  <c r="K196" i="97"/>
  <c r="K197" i="97"/>
  <c r="K198" i="97"/>
  <c r="K199" i="97"/>
  <c r="K200" i="97"/>
  <c r="K201" i="97"/>
  <c r="K202" i="97"/>
  <c r="K203" i="97"/>
  <c r="K204" i="97"/>
  <c r="K205" i="97"/>
  <c r="K206" i="97"/>
  <c r="K207" i="97"/>
  <c r="K208" i="97"/>
  <c r="K209" i="97"/>
  <c r="K210" i="97"/>
  <c r="K211" i="97"/>
  <c r="K212" i="97"/>
  <c r="K213" i="97"/>
  <c r="K214" i="97"/>
  <c r="K215" i="97"/>
  <c r="K216" i="97"/>
  <c r="K217" i="97"/>
  <c r="K218" i="97"/>
  <c r="K219" i="97"/>
  <c r="K220" i="97"/>
  <c r="K221" i="97"/>
  <c r="K222" i="97"/>
  <c r="K223" i="97"/>
  <c r="K224" i="97"/>
  <c r="K225" i="97"/>
  <c r="K226" i="97"/>
  <c r="K227" i="97"/>
  <c r="K228" i="97"/>
  <c r="K229" i="97"/>
  <c r="K230" i="97"/>
  <c r="K231" i="97"/>
  <c r="K232" i="97"/>
  <c r="K233" i="97"/>
  <c r="K234" i="97"/>
  <c r="K235" i="97"/>
  <c r="K236" i="97"/>
  <c r="K237" i="97"/>
  <c r="K238" i="97"/>
  <c r="K239" i="97"/>
  <c r="K240" i="97"/>
  <c r="K241" i="97"/>
  <c r="K242" i="97"/>
  <c r="K243" i="97"/>
  <c r="K244" i="97"/>
  <c r="K245" i="97"/>
  <c r="K246" i="97"/>
  <c r="K247" i="97"/>
  <c r="K248" i="97"/>
  <c r="K249" i="97"/>
  <c r="K250" i="97"/>
  <c r="K251" i="97"/>
  <c r="K252" i="97"/>
  <c r="K253" i="97"/>
  <c r="K254" i="97"/>
  <c r="K255" i="97"/>
  <c r="K256" i="97"/>
  <c r="K257" i="97"/>
  <c r="K258" i="97"/>
  <c r="K259" i="97"/>
  <c r="K260" i="97"/>
  <c r="K261" i="97"/>
  <c r="K262" i="97"/>
  <c r="K263" i="97"/>
  <c r="K264" i="97"/>
  <c r="K265" i="97"/>
  <c r="K266" i="97"/>
  <c r="K267" i="97"/>
  <c r="K268" i="97"/>
  <c r="K269" i="97"/>
  <c r="K270" i="97"/>
  <c r="K271" i="97"/>
  <c r="K272" i="97"/>
  <c r="K273" i="97"/>
  <c r="K274" i="97"/>
  <c r="K275" i="97"/>
  <c r="K276" i="97"/>
  <c r="K277" i="97"/>
  <c r="K278" i="97"/>
  <c r="K279" i="97"/>
  <c r="K280" i="97"/>
  <c r="K281" i="97"/>
  <c r="K282" i="97"/>
  <c r="K283" i="97"/>
  <c r="K284" i="97"/>
  <c r="K285" i="97"/>
  <c r="K286" i="97"/>
  <c r="K287" i="97"/>
  <c r="K288" i="97"/>
  <c r="K289" i="97"/>
  <c r="K290" i="97"/>
  <c r="K291" i="97"/>
  <c r="K292" i="97"/>
  <c r="K293" i="97"/>
  <c r="K294" i="97"/>
  <c r="K295" i="97"/>
  <c r="K296" i="97"/>
  <c r="K297" i="97"/>
  <c r="K298" i="97"/>
  <c r="K299" i="97"/>
  <c r="K300" i="97"/>
  <c r="K301" i="97"/>
  <c r="K302" i="97"/>
  <c r="K303" i="97"/>
  <c r="K304" i="97"/>
  <c r="K305" i="97"/>
  <c r="K306" i="97"/>
  <c r="K307" i="97"/>
  <c r="K308" i="97"/>
  <c r="K309" i="97"/>
  <c r="K310" i="97"/>
  <c r="K311" i="97"/>
  <c r="K312" i="97"/>
  <c r="K313" i="97"/>
  <c r="K314" i="97"/>
  <c r="K315" i="97"/>
  <c r="K316" i="97"/>
  <c r="K317" i="97"/>
  <c r="K318" i="97"/>
  <c r="K319" i="97"/>
  <c r="K320" i="97"/>
  <c r="K321" i="97"/>
  <c r="K322" i="97"/>
  <c r="K323" i="97"/>
  <c r="K324" i="97"/>
  <c r="K325" i="97"/>
  <c r="K326" i="97"/>
  <c r="K327" i="97"/>
  <c r="K328" i="97"/>
  <c r="K329" i="97"/>
  <c r="K330" i="97"/>
  <c r="K331" i="97"/>
  <c r="K332" i="97"/>
  <c r="K333" i="97"/>
  <c r="K334" i="97"/>
  <c r="K335" i="97"/>
  <c r="K336" i="97"/>
  <c r="K337" i="97"/>
  <c r="K338" i="97"/>
  <c r="K339" i="97"/>
  <c r="K340" i="97"/>
  <c r="K341" i="97"/>
  <c r="K342" i="97"/>
  <c r="K343" i="97"/>
  <c r="K344" i="97"/>
  <c r="K345" i="97"/>
  <c r="K346" i="97"/>
  <c r="K347" i="97"/>
  <c r="K348" i="97"/>
  <c r="K349" i="97"/>
  <c r="K350" i="97"/>
  <c r="K351" i="97"/>
  <c r="K352" i="97"/>
  <c r="K353" i="97"/>
  <c r="K354" i="97"/>
  <c r="K355" i="97"/>
  <c r="K356" i="97"/>
  <c r="K357" i="97"/>
  <c r="K358" i="97"/>
  <c r="K359" i="97"/>
  <c r="K360" i="97"/>
  <c r="K361" i="97"/>
  <c r="K362" i="97"/>
  <c r="K363" i="97"/>
  <c r="K364" i="97"/>
  <c r="K365" i="97"/>
  <c r="K366" i="97"/>
  <c r="K367" i="97"/>
  <c r="K368" i="97"/>
  <c r="K369" i="97"/>
  <c r="K370" i="97"/>
  <c r="K371" i="97"/>
  <c r="K372" i="97"/>
  <c r="K373" i="97"/>
  <c r="K374" i="97"/>
  <c r="K375" i="97"/>
  <c r="K376" i="97"/>
  <c r="K377" i="97"/>
  <c r="K378" i="97"/>
  <c r="K379" i="97"/>
  <c r="K380" i="97"/>
  <c r="K381" i="97"/>
  <c r="K382" i="97"/>
  <c r="K383" i="97"/>
  <c r="K384" i="97"/>
  <c r="K385" i="97"/>
  <c r="K386" i="97"/>
  <c r="K387" i="97"/>
  <c r="K388" i="97"/>
  <c r="K389" i="97"/>
  <c r="K390" i="97"/>
  <c r="K391" i="97"/>
  <c r="K392" i="97"/>
  <c r="K393" i="97"/>
  <c r="K394" i="97"/>
  <c r="K395" i="97"/>
  <c r="K396" i="97"/>
  <c r="K397" i="97"/>
  <c r="K398" i="97"/>
  <c r="K399" i="97"/>
  <c r="K400" i="97"/>
  <c r="K401" i="97"/>
  <c r="K402" i="97"/>
  <c r="K403" i="97"/>
  <c r="K404" i="97"/>
  <c r="K405" i="97"/>
  <c r="K406" i="97"/>
  <c r="K407" i="97"/>
  <c r="K408" i="97"/>
  <c r="K409" i="97"/>
  <c r="K410" i="97"/>
  <c r="K411" i="97"/>
  <c r="K412" i="97"/>
  <c r="K413" i="97"/>
  <c r="K414" i="97"/>
  <c r="K415" i="97"/>
  <c r="K416" i="97"/>
  <c r="K417" i="97"/>
  <c r="K418" i="97"/>
  <c r="K419" i="97"/>
  <c r="K420" i="97"/>
  <c r="K421" i="97"/>
  <c r="K422" i="97"/>
  <c r="K423" i="97"/>
  <c r="K424" i="97"/>
  <c r="K425" i="97"/>
  <c r="K426" i="97"/>
  <c r="K427" i="97"/>
  <c r="K428" i="97"/>
  <c r="K429" i="97"/>
  <c r="K430" i="97"/>
  <c r="K431" i="97"/>
  <c r="K432" i="97"/>
  <c r="K433" i="97"/>
  <c r="K434" i="97"/>
  <c r="K435" i="97"/>
  <c r="K436" i="97"/>
  <c r="K437" i="97"/>
  <c r="K438" i="97"/>
  <c r="K439" i="97"/>
  <c r="K440" i="97"/>
  <c r="K441" i="97"/>
  <c r="K442" i="97"/>
  <c r="K443" i="97"/>
  <c r="K444" i="97"/>
  <c r="K445" i="97"/>
  <c r="K446" i="97"/>
  <c r="K447" i="97"/>
  <c r="K448" i="97"/>
  <c r="K449" i="97"/>
  <c r="K450" i="97"/>
  <c r="K451" i="97"/>
  <c r="K452" i="97"/>
  <c r="K453" i="97"/>
  <c r="K454" i="97"/>
  <c r="K455" i="97"/>
  <c r="K456" i="97"/>
  <c r="K457" i="97"/>
  <c r="K458" i="97"/>
  <c r="K459" i="97"/>
  <c r="K460" i="97"/>
  <c r="K461" i="97"/>
  <c r="K462" i="97"/>
  <c r="K463" i="97"/>
  <c r="K464" i="97"/>
  <c r="K465" i="97"/>
  <c r="K466" i="97"/>
  <c r="K467" i="97"/>
  <c r="K468" i="97"/>
  <c r="K469" i="97"/>
  <c r="K470" i="97"/>
  <c r="K471" i="97"/>
  <c r="K472" i="97"/>
  <c r="K473" i="97"/>
  <c r="K474" i="97"/>
  <c r="K475" i="97"/>
  <c r="K476" i="97"/>
  <c r="K477" i="97"/>
  <c r="K478" i="97"/>
  <c r="K479" i="97"/>
  <c r="K480" i="97"/>
  <c r="K481" i="97"/>
  <c r="K482" i="97"/>
  <c r="K483" i="97"/>
  <c r="K484" i="97"/>
  <c r="K485" i="97"/>
  <c r="K486" i="97"/>
  <c r="K487" i="97"/>
  <c r="K488" i="97"/>
  <c r="K489" i="97"/>
  <c r="K490" i="97"/>
  <c r="K491" i="97"/>
  <c r="K492" i="97"/>
  <c r="K493" i="97"/>
  <c r="K494" i="97"/>
  <c r="K495" i="97"/>
  <c r="K496" i="97"/>
  <c r="K497" i="97"/>
  <c r="K498" i="97"/>
  <c r="K499" i="97"/>
  <c r="K500" i="97"/>
  <c r="K501" i="97"/>
  <c r="K502" i="97"/>
  <c r="K503" i="97"/>
  <c r="K504" i="97"/>
  <c r="K505" i="97"/>
  <c r="K506" i="97"/>
  <c r="K507" i="97"/>
  <c r="K508" i="97"/>
  <c r="K509" i="97"/>
  <c r="K510" i="97"/>
  <c r="K511" i="97"/>
  <c r="K512" i="97"/>
  <c r="K513" i="97"/>
  <c r="K514" i="97"/>
  <c r="K515" i="97"/>
  <c r="K516" i="97"/>
  <c r="K517" i="97"/>
  <c r="K518" i="97"/>
  <c r="K519" i="97"/>
  <c r="K520" i="97"/>
  <c r="K521" i="97"/>
  <c r="K522" i="97"/>
  <c r="K523" i="97"/>
  <c r="K524" i="97"/>
  <c r="K525" i="97"/>
  <c r="K526" i="97"/>
  <c r="K527" i="97"/>
  <c r="K528" i="97"/>
  <c r="K529" i="97"/>
  <c r="K530" i="97"/>
  <c r="K531" i="97"/>
  <c r="K532" i="97"/>
  <c r="K533" i="97"/>
  <c r="K534" i="97"/>
  <c r="K535" i="97"/>
  <c r="K536" i="97"/>
  <c r="K537" i="97"/>
  <c r="K538" i="97"/>
  <c r="K539" i="97"/>
  <c r="K540" i="97"/>
  <c r="K541" i="97"/>
  <c r="K542" i="97"/>
  <c r="K543" i="97"/>
  <c r="K544" i="97"/>
  <c r="K545" i="97"/>
  <c r="K546" i="97"/>
  <c r="K547" i="97"/>
  <c r="K548" i="97"/>
  <c r="K549" i="97"/>
  <c r="K550" i="97"/>
  <c r="K551" i="97"/>
  <c r="K552" i="97"/>
  <c r="K553" i="97"/>
  <c r="K554" i="97"/>
  <c r="K555" i="97"/>
  <c r="K556" i="97"/>
  <c r="K557" i="97"/>
  <c r="K558" i="97"/>
  <c r="K559" i="97"/>
  <c r="K560" i="97"/>
  <c r="K561" i="97"/>
  <c r="K562" i="97"/>
  <c r="K563" i="97"/>
  <c r="K564" i="97"/>
  <c r="K565" i="97"/>
  <c r="K566" i="97"/>
  <c r="K567" i="97"/>
  <c r="K568" i="97"/>
  <c r="K569" i="97"/>
  <c r="K570" i="97"/>
  <c r="K571" i="97"/>
  <c r="K572" i="97"/>
  <c r="K573" i="97"/>
  <c r="K574" i="97"/>
  <c r="K575" i="97"/>
  <c r="K576" i="97"/>
  <c r="K577" i="97"/>
  <c r="K578" i="97"/>
  <c r="K579" i="97"/>
  <c r="K580" i="97"/>
  <c r="K581" i="97"/>
  <c r="K582" i="97"/>
  <c r="K583" i="97"/>
  <c r="K584" i="97"/>
  <c r="K585" i="97"/>
  <c r="K586" i="97"/>
  <c r="K587" i="97"/>
  <c r="K588" i="97"/>
  <c r="K589" i="97"/>
  <c r="K590" i="97"/>
  <c r="K591" i="97"/>
  <c r="K592" i="97"/>
  <c r="K593" i="97"/>
  <c r="K594" i="97"/>
  <c r="K595" i="97"/>
  <c r="K596" i="97"/>
  <c r="K597" i="97"/>
  <c r="K598" i="97"/>
  <c r="K599" i="97"/>
  <c r="K600" i="97"/>
  <c r="K601" i="97"/>
  <c r="K602" i="97"/>
  <c r="K603" i="97"/>
  <c r="K604" i="97"/>
  <c r="K605" i="97"/>
  <c r="K606" i="97"/>
  <c r="K607" i="97"/>
  <c r="K608" i="97"/>
  <c r="K609" i="97"/>
  <c r="K610" i="97"/>
  <c r="K611" i="97"/>
  <c r="K612" i="97"/>
  <c r="K613" i="97"/>
  <c r="K614" i="97"/>
  <c r="K615" i="97"/>
  <c r="K616" i="97"/>
  <c r="K617" i="97"/>
  <c r="K618" i="97"/>
  <c r="K619" i="97"/>
  <c r="K620" i="97"/>
  <c r="K621" i="97"/>
  <c r="K622" i="97"/>
  <c r="K623" i="97"/>
  <c r="K624" i="97"/>
  <c r="K625" i="97"/>
  <c r="K626" i="97"/>
  <c r="K627" i="97"/>
  <c r="K628" i="97"/>
  <c r="K629" i="97"/>
  <c r="K630" i="97"/>
  <c r="K631" i="97"/>
  <c r="K632" i="97"/>
  <c r="K633" i="97"/>
  <c r="K634" i="97"/>
  <c r="K635" i="97"/>
  <c r="K636" i="97"/>
  <c r="K637" i="97"/>
  <c r="K638" i="97"/>
  <c r="K639" i="97"/>
  <c r="K640" i="97"/>
  <c r="K641" i="97"/>
  <c r="K642" i="97"/>
  <c r="K643" i="97"/>
  <c r="K644" i="97"/>
  <c r="K645" i="97"/>
  <c r="K646" i="97"/>
  <c r="K647" i="97"/>
  <c r="K648" i="97"/>
  <c r="K649" i="97"/>
  <c r="K650" i="97"/>
  <c r="K651" i="97"/>
  <c r="K652" i="97"/>
  <c r="K653" i="97"/>
  <c r="K654" i="97"/>
  <c r="K655" i="97"/>
  <c r="K656" i="97"/>
  <c r="K657" i="97"/>
  <c r="K658" i="97"/>
  <c r="K659" i="97"/>
  <c r="K660" i="97"/>
  <c r="K661" i="97"/>
  <c r="K662" i="97"/>
  <c r="K663" i="97"/>
  <c r="K664" i="97"/>
  <c r="K665" i="97"/>
  <c r="K666" i="97"/>
  <c r="K667" i="97"/>
  <c r="K668" i="97"/>
  <c r="K669" i="97"/>
  <c r="K670" i="97"/>
  <c r="K671" i="97"/>
  <c r="K672" i="97"/>
  <c r="K673" i="97"/>
  <c r="K674" i="97"/>
  <c r="K675" i="97"/>
  <c r="K676" i="97"/>
  <c r="K677" i="97"/>
  <c r="K678" i="97"/>
  <c r="K679" i="97"/>
  <c r="K680" i="97"/>
  <c r="K681" i="97"/>
  <c r="K682" i="97"/>
  <c r="K683" i="97"/>
  <c r="K684" i="97"/>
  <c r="K685" i="97"/>
  <c r="K686" i="97"/>
  <c r="K687" i="97"/>
  <c r="K688" i="97"/>
  <c r="K689" i="97"/>
  <c r="K690" i="97"/>
  <c r="K691" i="97"/>
  <c r="K692" i="97"/>
  <c r="K693" i="97"/>
  <c r="K694" i="97"/>
  <c r="K695" i="97"/>
  <c r="K696" i="97"/>
  <c r="K697" i="97"/>
  <c r="K698" i="97"/>
  <c r="K699" i="97"/>
  <c r="K700" i="97"/>
  <c r="K701" i="97"/>
  <c r="K702" i="97"/>
  <c r="K703" i="97"/>
  <c r="K704" i="97"/>
  <c r="K705" i="97"/>
  <c r="K706" i="97"/>
  <c r="K707" i="97"/>
  <c r="K708" i="97"/>
  <c r="K709" i="97"/>
  <c r="K710" i="97"/>
  <c r="K711" i="97"/>
  <c r="K712" i="97"/>
  <c r="K713" i="97"/>
  <c r="K714" i="97"/>
  <c r="K715" i="97"/>
  <c r="K716" i="97"/>
  <c r="K717" i="97"/>
  <c r="K718" i="97"/>
  <c r="K719" i="97"/>
  <c r="K720" i="97"/>
  <c r="K721" i="97"/>
  <c r="K722" i="97"/>
  <c r="K723" i="97"/>
  <c r="K724" i="97"/>
  <c r="K725" i="97"/>
  <c r="K726" i="97"/>
  <c r="K727" i="97"/>
  <c r="K728" i="97"/>
  <c r="K729" i="97"/>
  <c r="K730" i="97"/>
  <c r="K731" i="97"/>
  <c r="K732" i="97"/>
  <c r="K733" i="97"/>
  <c r="K734" i="97"/>
  <c r="K735" i="97"/>
  <c r="K736" i="97"/>
  <c r="K737" i="97"/>
  <c r="K738" i="97"/>
  <c r="K739" i="97"/>
  <c r="K740" i="97"/>
  <c r="K741" i="97"/>
  <c r="K742" i="97"/>
  <c r="K743" i="97"/>
  <c r="K744" i="97"/>
  <c r="K745" i="97"/>
  <c r="K746" i="97"/>
  <c r="K747" i="97"/>
  <c r="K748" i="97"/>
  <c r="K749" i="97"/>
  <c r="K750" i="97"/>
  <c r="K751" i="97"/>
  <c r="K752" i="97"/>
  <c r="K753" i="97"/>
  <c r="K754" i="97"/>
  <c r="K755" i="97"/>
  <c r="K756" i="97"/>
  <c r="K757" i="97"/>
  <c r="K758" i="97"/>
  <c r="K759" i="97"/>
  <c r="K760" i="97"/>
  <c r="K761" i="97"/>
  <c r="K762" i="97"/>
  <c r="K763" i="97"/>
  <c r="K764" i="97"/>
  <c r="K765" i="97"/>
  <c r="K766" i="97"/>
  <c r="K767" i="97"/>
  <c r="K768" i="97"/>
  <c r="K769" i="97"/>
  <c r="K770" i="97"/>
  <c r="K771" i="97"/>
  <c r="K772" i="97"/>
  <c r="K773" i="97"/>
  <c r="K774" i="97"/>
  <c r="K775" i="97"/>
  <c r="K776" i="97"/>
  <c r="K777" i="97"/>
  <c r="K778" i="97"/>
  <c r="K779" i="97"/>
  <c r="K780" i="97"/>
  <c r="K781" i="97"/>
  <c r="K782" i="97"/>
  <c r="K783" i="97"/>
  <c r="K784" i="97"/>
  <c r="K785" i="97"/>
  <c r="K786" i="97"/>
  <c r="K787" i="97"/>
  <c r="K788" i="97"/>
  <c r="K789" i="97"/>
  <c r="K790" i="97"/>
  <c r="K791" i="97"/>
  <c r="K792" i="97"/>
  <c r="K793" i="97"/>
  <c r="K794" i="97"/>
  <c r="K795" i="97"/>
  <c r="K796" i="97"/>
  <c r="K797" i="97"/>
  <c r="K798" i="97"/>
  <c r="K799" i="97"/>
  <c r="K800" i="97"/>
  <c r="K801" i="97"/>
  <c r="K802" i="97"/>
  <c r="K803" i="97"/>
  <c r="K804" i="97"/>
  <c r="K805" i="97"/>
  <c r="K806" i="97"/>
  <c r="K807" i="97"/>
  <c r="K808" i="97"/>
  <c r="K809" i="97"/>
  <c r="K810" i="97"/>
  <c r="K811" i="97"/>
  <c r="K812" i="97"/>
  <c r="K813" i="97"/>
  <c r="K814" i="97"/>
  <c r="K815" i="97"/>
  <c r="K816" i="97"/>
  <c r="K817" i="97"/>
  <c r="K818" i="97"/>
  <c r="K819" i="97"/>
  <c r="K820" i="97"/>
  <c r="K821" i="97"/>
  <c r="K822" i="97"/>
  <c r="K823" i="97"/>
  <c r="K824" i="97"/>
  <c r="K825" i="97"/>
  <c r="K826" i="97"/>
  <c r="K827" i="97"/>
  <c r="K828" i="97"/>
  <c r="K829" i="97"/>
  <c r="K830" i="97"/>
  <c r="K831" i="97"/>
  <c r="K832" i="97"/>
  <c r="K833" i="97"/>
  <c r="K834" i="97"/>
  <c r="K835" i="97"/>
  <c r="K836" i="97"/>
  <c r="K837" i="97"/>
  <c r="K838" i="97"/>
  <c r="K839" i="97"/>
  <c r="K840" i="97"/>
  <c r="K841" i="97"/>
  <c r="K842" i="97"/>
  <c r="K843" i="97"/>
  <c r="K844" i="97"/>
  <c r="K845" i="97"/>
  <c r="K846" i="97"/>
  <c r="K847" i="97"/>
  <c r="K848" i="97"/>
  <c r="K849" i="97"/>
  <c r="K850" i="97"/>
  <c r="K851" i="97"/>
  <c r="K852" i="97"/>
  <c r="K853" i="97"/>
  <c r="K854" i="97"/>
  <c r="K855" i="97"/>
  <c r="K856" i="97"/>
  <c r="K857" i="97"/>
  <c r="K858" i="97"/>
  <c r="K859" i="97"/>
  <c r="K860" i="97"/>
  <c r="K861" i="97"/>
  <c r="K862" i="97"/>
  <c r="K863" i="97"/>
  <c r="K864" i="97"/>
  <c r="K865" i="97"/>
  <c r="K866" i="97"/>
  <c r="K867" i="97"/>
  <c r="K868" i="97"/>
  <c r="K869" i="97"/>
  <c r="K870" i="97"/>
  <c r="K871" i="97"/>
  <c r="K872" i="97"/>
  <c r="K873" i="97"/>
  <c r="K874" i="97"/>
  <c r="K875" i="97"/>
  <c r="K876" i="97"/>
  <c r="K877" i="97"/>
  <c r="K878" i="97"/>
  <c r="K879" i="97"/>
  <c r="K880" i="97"/>
  <c r="K881" i="97"/>
  <c r="K882" i="97"/>
  <c r="K883" i="97"/>
  <c r="K884" i="97"/>
  <c r="K885" i="97"/>
  <c r="K886" i="97"/>
  <c r="K887" i="97"/>
  <c r="K888" i="97"/>
  <c r="K889" i="97"/>
  <c r="K890" i="97"/>
  <c r="K891" i="97"/>
  <c r="K892" i="97"/>
  <c r="K893" i="97"/>
  <c r="K894" i="97"/>
  <c r="K895" i="97"/>
  <c r="K896" i="97"/>
  <c r="K897" i="97"/>
  <c r="K898" i="97"/>
  <c r="K899" i="97"/>
  <c r="K900" i="97"/>
  <c r="K901" i="97"/>
  <c r="K902" i="97"/>
  <c r="K903" i="97"/>
  <c r="K904" i="97"/>
  <c r="K905" i="97"/>
  <c r="K906" i="97"/>
  <c r="K907" i="97"/>
  <c r="K908" i="97"/>
  <c r="K909" i="97"/>
  <c r="K910" i="97"/>
  <c r="K911" i="97"/>
  <c r="K912" i="97"/>
  <c r="K913" i="97"/>
  <c r="K914" i="97"/>
  <c r="K915" i="97"/>
  <c r="K916" i="97"/>
  <c r="K917" i="97"/>
  <c r="K918" i="97"/>
  <c r="K919" i="97"/>
  <c r="K920" i="97"/>
  <c r="K921" i="97"/>
  <c r="K922" i="97"/>
  <c r="K923" i="97"/>
  <c r="K924" i="97"/>
  <c r="K925" i="97"/>
  <c r="K926" i="97"/>
  <c r="K927" i="97"/>
  <c r="K928" i="97"/>
  <c r="K929" i="97"/>
  <c r="K930" i="97"/>
  <c r="K931" i="97"/>
  <c r="K932" i="97"/>
  <c r="K933" i="97"/>
  <c r="K934" i="97"/>
  <c r="K935" i="97"/>
  <c r="K936" i="97"/>
  <c r="K937" i="97"/>
  <c r="K938" i="97"/>
  <c r="K939" i="97"/>
  <c r="K940" i="97"/>
  <c r="K941" i="97"/>
  <c r="K942" i="97"/>
  <c r="K943" i="97"/>
  <c r="K944" i="97"/>
  <c r="K945" i="97"/>
  <c r="K946" i="97"/>
  <c r="K947" i="97"/>
  <c r="K948" i="97"/>
  <c r="K949" i="97"/>
  <c r="K950" i="97"/>
  <c r="K951" i="97"/>
  <c r="K952" i="97"/>
  <c r="K953" i="97"/>
  <c r="K954" i="97"/>
  <c r="K955" i="97"/>
  <c r="K956" i="97"/>
  <c r="K957" i="97"/>
  <c r="K958" i="97"/>
  <c r="K959" i="97"/>
  <c r="K960" i="97"/>
  <c r="K961" i="97"/>
  <c r="K962" i="97"/>
  <c r="K963" i="97"/>
  <c r="K964" i="97"/>
  <c r="K965" i="97"/>
  <c r="K966" i="97"/>
  <c r="K967" i="97"/>
  <c r="K968" i="97"/>
  <c r="K969" i="97"/>
  <c r="K970" i="97"/>
  <c r="K971" i="97"/>
  <c r="K972" i="97"/>
  <c r="K973" i="97"/>
  <c r="K974" i="97"/>
  <c r="K975" i="97"/>
  <c r="K976" i="97"/>
  <c r="K977" i="97"/>
  <c r="K978" i="97"/>
  <c r="K979" i="97"/>
  <c r="K980" i="97"/>
  <c r="K981" i="97"/>
  <c r="K982" i="97"/>
  <c r="K983" i="97"/>
  <c r="K984" i="97"/>
  <c r="K985" i="97"/>
  <c r="K986" i="97"/>
  <c r="K987" i="97"/>
  <c r="K988" i="97"/>
  <c r="K989" i="97"/>
  <c r="K990" i="97"/>
  <c r="K991" i="97"/>
  <c r="K992" i="97"/>
  <c r="K993" i="97"/>
  <c r="K994" i="97"/>
  <c r="K995" i="97"/>
  <c r="K996" i="97"/>
  <c r="K997" i="97"/>
  <c r="K998" i="97"/>
  <c r="K999" i="97"/>
  <c r="K1000" i="97"/>
  <c r="K1001" i="97"/>
  <c r="K1002" i="97"/>
  <c r="K1003" i="97"/>
  <c r="K1004" i="97"/>
  <c r="K1005" i="97"/>
  <c r="K1006" i="97"/>
  <c r="K1007" i="97"/>
  <c r="K1008" i="97"/>
  <c r="K9" i="97"/>
  <c r="BT2" i="49"/>
  <c r="BT1" i="49"/>
  <c r="BT1" i="49" a="1"/>
  <c r="BN19" i="49"/>
  <c r="BN1" i="49" s="1"/>
  <c r="BM19" i="49"/>
  <c r="BM1" i="49" s="1"/>
  <c r="BL19" i="49"/>
  <c r="BL1" i="49" s="1"/>
  <c r="BK19" i="49"/>
  <c r="BK1" i="49" s="1"/>
  <c r="BO1" i="49"/>
  <c r="BY17" i="49"/>
  <c r="BY16" i="49"/>
  <c r="BY15" i="49"/>
  <c r="BY14" i="49"/>
  <c r="BY13" i="49"/>
  <c r="BY12" i="49"/>
  <c r="BY11" i="49"/>
  <c r="BY10" i="49"/>
  <c r="BY9" i="49"/>
  <c r="BY8" i="49"/>
  <c r="BY7" i="49"/>
  <c r="BY6" i="49"/>
  <c r="BY5" i="49"/>
  <c r="BY4" i="49"/>
  <c r="C17" i="1"/>
  <c r="C18" i="1"/>
  <c r="D18" i="1"/>
  <c r="C19" i="1"/>
  <c r="D19" i="1"/>
  <c r="C20" i="1"/>
  <c r="D17" i="1"/>
  <c r="C16" i="1"/>
  <c r="E16" i="1"/>
  <c r="D20" i="1"/>
  <c r="D16" i="1"/>
  <c r="BZ3" i="49" l="1" a="1"/>
  <c r="BZ4" i="49" s="1"/>
  <c r="AC2" i="1"/>
  <c r="BZ3" i="49" l="1"/>
  <c r="BZ7" i="49"/>
  <c r="BZ5" i="49"/>
  <c r="BZ8" i="49"/>
  <c r="BZ6" i="49"/>
  <c r="G2" i="49"/>
  <c r="CV8" i="49"/>
  <c r="E12" i="1"/>
  <c r="CW8" i="49" a="1"/>
  <c r="CW18" i="49" a="1"/>
  <c r="CW10" i="49" a="1"/>
  <c r="CW13" i="49" a="1"/>
  <c r="CW9" i="49" a="1"/>
  <c r="CW14" i="49" a="1"/>
  <c r="CW15" i="49" a="1"/>
  <c r="CW20" i="49" a="1"/>
  <c r="CW23" i="49" a="1"/>
  <c r="CW19" i="49" a="1"/>
  <c r="CW16" i="49" a="1"/>
  <c r="CW12" i="49" a="1"/>
  <c r="CW22" i="49" a="1"/>
  <c r="CW17" i="49" a="1"/>
  <c r="CW21" i="49" a="1"/>
  <c r="CW11" i="49" a="1"/>
  <c r="CW16" i="49" l="1"/>
  <c r="CW20" i="49"/>
  <c r="CW9" i="49"/>
  <c r="CW13" i="49"/>
  <c r="CW17" i="49"/>
  <c r="CW21" i="49"/>
  <c r="CW8" i="49"/>
  <c r="CW22" i="49"/>
  <c r="CW10" i="49"/>
  <c r="CW18" i="49"/>
  <c r="CW11" i="49"/>
  <c r="CW15" i="49"/>
  <c r="CW23" i="49"/>
  <c r="CW12" i="49"/>
  <c r="CW14" i="49"/>
  <c r="CW19" i="49"/>
  <c r="J10" i="97" l="1"/>
  <c r="J11" i="97"/>
  <c r="J12" i="97"/>
  <c r="J13" i="97"/>
  <c r="J14" i="97"/>
  <c r="J15" i="97"/>
  <c r="J16" i="97"/>
  <c r="J17" i="97"/>
  <c r="J18" i="97"/>
  <c r="J19" i="97"/>
  <c r="J20" i="97"/>
  <c r="J21" i="97"/>
  <c r="J22" i="97"/>
  <c r="J23" i="97"/>
  <c r="J24" i="97"/>
  <c r="J25" i="97"/>
  <c r="J26" i="97"/>
  <c r="J27" i="97"/>
  <c r="J28" i="97"/>
  <c r="J29" i="97"/>
  <c r="J30" i="97"/>
  <c r="J31" i="97"/>
  <c r="J32" i="97"/>
  <c r="J33" i="97"/>
  <c r="J34" i="97"/>
  <c r="J35" i="97"/>
  <c r="J36" i="97"/>
  <c r="J37" i="97"/>
  <c r="J38" i="97"/>
  <c r="J39" i="97"/>
  <c r="J40" i="97"/>
  <c r="J41" i="97"/>
  <c r="J42" i="97"/>
  <c r="J43" i="97"/>
  <c r="J44" i="97"/>
  <c r="J45" i="97"/>
  <c r="J46" i="97"/>
  <c r="J47" i="97"/>
  <c r="J48" i="97"/>
  <c r="J49" i="97"/>
  <c r="J50" i="97"/>
  <c r="J51" i="97"/>
  <c r="J52" i="97"/>
  <c r="J53" i="97"/>
  <c r="J54" i="97"/>
  <c r="J55" i="97"/>
  <c r="J56" i="97"/>
  <c r="J57" i="97"/>
  <c r="J58" i="97"/>
  <c r="J59" i="97"/>
  <c r="J60" i="97"/>
  <c r="J61" i="97"/>
  <c r="J62" i="97"/>
  <c r="J63" i="97"/>
  <c r="J64" i="97"/>
  <c r="J65" i="97"/>
  <c r="J66" i="97"/>
  <c r="J67" i="97"/>
  <c r="J68" i="97"/>
  <c r="J69" i="97"/>
  <c r="J70" i="97"/>
  <c r="J71" i="97"/>
  <c r="J72" i="97"/>
  <c r="J73" i="97"/>
  <c r="J74" i="97"/>
  <c r="J75" i="97"/>
  <c r="J76" i="97"/>
  <c r="J77" i="97"/>
  <c r="J78" i="97"/>
  <c r="J79" i="97"/>
  <c r="J80" i="97"/>
  <c r="J81" i="97"/>
  <c r="J82" i="97"/>
  <c r="J83" i="97"/>
  <c r="J84" i="97"/>
  <c r="J85" i="97"/>
  <c r="J86" i="97"/>
  <c r="J87" i="97"/>
  <c r="J88" i="97"/>
  <c r="J89" i="97"/>
  <c r="J90" i="97"/>
  <c r="J91" i="97"/>
  <c r="J92" i="97"/>
  <c r="J93" i="97"/>
  <c r="J94" i="97"/>
  <c r="J95" i="97"/>
  <c r="J96" i="97"/>
  <c r="J97" i="97"/>
  <c r="J98" i="97"/>
  <c r="J99" i="97"/>
  <c r="J100" i="97"/>
  <c r="J101" i="97"/>
  <c r="J102" i="97"/>
  <c r="J103" i="97"/>
  <c r="J104" i="97"/>
  <c r="J105" i="97"/>
  <c r="J106" i="97"/>
  <c r="J107" i="97"/>
  <c r="J108" i="97"/>
  <c r="J109" i="97"/>
  <c r="J110" i="97"/>
  <c r="J111" i="97"/>
  <c r="J112" i="97"/>
  <c r="J113" i="97"/>
  <c r="J114" i="97"/>
  <c r="J115" i="97"/>
  <c r="J116" i="97"/>
  <c r="J117" i="97"/>
  <c r="J118" i="97"/>
  <c r="J119" i="97"/>
  <c r="J120" i="97"/>
  <c r="J121" i="97"/>
  <c r="J122" i="97"/>
  <c r="J123" i="97"/>
  <c r="J124" i="97"/>
  <c r="J125" i="97"/>
  <c r="J126" i="97"/>
  <c r="J127" i="97"/>
  <c r="J128" i="97"/>
  <c r="J129" i="97"/>
  <c r="J130" i="97"/>
  <c r="J131" i="97"/>
  <c r="J132" i="97"/>
  <c r="J133" i="97"/>
  <c r="J134" i="97"/>
  <c r="J135" i="97"/>
  <c r="J136" i="97"/>
  <c r="J137" i="97"/>
  <c r="J138" i="97"/>
  <c r="J139" i="97"/>
  <c r="J140" i="97"/>
  <c r="J141" i="97"/>
  <c r="J142" i="97"/>
  <c r="J143" i="97"/>
  <c r="J144" i="97"/>
  <c r="J145" i="97"/>
  <c r="J146" i="97"/>
  <c r="J147" i="97"/>
  <c r="J148" i="97"/>
  <c r="J149" i="97"/>
  <c r="J150" i="97"/>
  <c r="J151" i="97"/>
  <c r="J152" i="97"/>
  <c r="J153" i="97"/>
  <c r="J154" i="97"/>
  <c r="J155" i="97"/>
  <c r="J156" i="97"/>
  <c r="J157" i="97"/>
  <c r="J158" i="97"/>
  <c r="J159" i="97"/>
  <c r="J160" i="97"/>
  <c r="J161" i="97"/>
  <c r="J162" i="97"/>
  <c r="J163" i="97"/>
  <c r="J164" i="97"/>
  <c r="J165" i="97"/>
  <c r="J166" i="97"/>
  <c r="J167" i="97"/>
  <c r="J168" i="97"/>
  <c r="J169" i="97"/>
  <c r="J170" i="97"/>
  <c r="J171" i="97"/>
  <c r="J172" i="97"/>
  <c r="J173" i="97"/>
  <c r="J174" i="97"/>
  <c r="J175" i="97"/>
  <c r="J176" i="97"/>
  <c r="J177" i="97"/>
  <c r="J178" i="97"/>
  <c r="J179" i="97"/>
  <c r="J180" i="97"/>
  <c r="J181" i="97"/>
  <c r="J182" i="97"/>
  <c r="J183" i="97"/>
  <c r="J184" i="97"/>
  <c r="J185" i="97"/>
  <c r="J186" i="97"/>
  <c r="J187" i="97"/>
  <c r="J188" i="97"/>
  <c r="J189" i="97"/>
  <c r="J190" i="97"/>
  <c r="J191" i="97"/>
  <c r="J192" i="97"/>
  <c r="J193" i="97"/>
  <c r="J194" i="97"/>
  <c r="J195" i="97"/>
  <c r="J196" i="97"/>
  <c r="J197" i="97"/>
  <c r="J198" i="97"/>
  <c r="J199" i="97"/>
  <c r="J200" i="97"/>
  <c r="J201" i="97"/>
  <c r="J202" i="97"/>
  <c r="J203" i="97"/>
  <c r="J204" i="97"/>
  <c r="J205" i="97"/>
  <c r="J206" i="97"/>
  <c r="J207" i="97"/>
  <c r="J208" i="97"/>
  <c r="J209" i="97"/>
  <c r="J210" i="97"/>
  <c r="J211" i="97"/>
  <c r="J212" i="97"/>
  <c r="J213" i="97"/>
  <c r="J214" i="97"/>
  <c r="J215" i="97"/>
  <c r="J216" i="97"/>
  <c r="J217" i="97"/>
  <c r="J218" i="97"/>
  <c r="J219" i="97"/>
  <c r="J220" i="97"/>
  <c r="J221" i="97"/>
  <c r="J222" i="97"/>
  <c r="J223" i="97"/>
  <c r="J224" i="97"/>
  <c r="J225" i="97"/>
  <c r="J226" i="97"/>
  <c r="J227" i="97"/>
  <c r="J228" i="97"/>
  <c r="J229" i="97"/>
  <c r="J230" i="97"/>
  <c r="J231" i="97"/>
  <c r="J232" i="97"/>
  <c r="J233" i="97"/>
  <c r="J234" i="97"/>
  <c r="J235" i="97"/>
  <c r="J236" i="97"/>
  <c r="J237" i="97"/>
  <c r="J238" i="97"/>
  <c r="J239" i="97"/>
  <c r="J240" i="97"/>
  <c r="J241" i="97"/>
  <c r="J242" i="97"/>
  <c r="J243" i="97"/>
  <c r="J244" i="97"/>
  <c r="J245" i="97"/>
  <c r="J246" i="97"/>
  <c r="J247" i="97"/>
  <c r="J248" i="97"/>
  <c r="J249" i="97"/>
  <c r="J250" i="97"/>
  <c r="J251" i="97"/>
  <c r="J252" i="97"/>
  <c r="J253" i="97"/>
  <c r="J254" i="97"/>
  <c r="J255" i="97"/>
  <c r="J256" i="97"/>
  <c r="J257" i="97"/>
  <c r="J258" i="97"/>
  <c r="J259" i="97"/>
  <c r="J260" i="97"/>
  <c r="J261" i="97"/>
  <c r="J262" i="97"/>
  <c r="J263" i="97"/>
  <c r="J264" i="97"/>
  <c r="J265" i="97"/>
  <c r="J266" i="97"/>
  <c r="J267" i="97"/>
  <c r="J268" i="97"/>
  <c r="J269" i="97"/>
  <c r="J270" i="97"/>
  <c r="J271" i="97"/>
  <c r="J272" i="97"/>
  <c r="J273" i="97"/>
  <c r="J274" i="97"/>
  <c r="J275" i="97"/>
  <c r="J276" i="97"/>
  <c r="J277" i="97"/>
  <c r="J278" i="97"/>
  <c r="J279" i="97"/>
  <c r="J280" i="97"/>
  <c r="J281" i="97"/>
  <c r="J282" i="97"/>
  <c r="J283" i="97"/>
  <c r="J284" i="97"/>
  <c r="J285" i="97"/>
  <c r="J286" i="97"/>
  <c r="J287" i="97"/>
  <c r="J288" i="97"/>
  <c r="J289" i="97"/>
  <c r="J290" i="97"/>
  <c r="J291" i="97"/>
  <c r="J292" i="97"/>
  <c r="J293" i="97"/>
  <c r="J294" i="97"/>
  <c r="J295" i="97"/>
  <c r="J296" i="97"/>
  <c r="J297" i="97"/>
  <c r="J298" i="97"/>
  <c r="J299" i="97"/>
  <c r="J300" i="97"/>
  <c r="J301" i="97"/>
  <c r="J302" i="97"/>
  <c r="J303" i="97"/>
  <c r="J304" i="97"/>
  <c r="J305" i="97"/>
  <c r="J306" i="97"/>
  <c r="J307" i="97"/>
  <c r="J308" i="97"/>
  <c r="J309" i="97"/>
  <c r="J310" i="97"/>
  <c r="J311" i="97"/>
  <c r="J312" i="97"/>
  <c r="J313" i="97"/>
  <c r="J314" i="97"/>
  <c r="J315" i="97"/>
  <c r="J316" i="97"/>
  <c r="J317" i="97"/>
  <c r="J318" i="97"/>
  <c r="J319" i="97"/>
  <c r="J320" i="97"/>
  <c r="J321" i="97"/>
  <c r="J322" i="97"/>
  <c r="J323" i="97"/>
  <c r="J324" i="97"/>
  <c r="J325" i="97"/>
  <c r="J326" i="97"/>
  <c r="J327" i="97"/>
  <c r="J328" i="97"/>
  <c r="J329" i="97"/>
  <c r="J330" i="97"/>
  <c r="J331" i="97"/>
  <c r="J332" i="97"/>
  <c r="J333" i="97"/>
  <c r="J334" i="97"/>
  <c r="J335" i="97"/>
  <c r="J336" i="97"/>
  <c r="J337" i="97"/>
  <c r="J338" i="97"/>
  <c r="J339" i="97"/>
  <c r="J340" i="97"/>
  <c r="J341" i="97"/>
  <c r="J342" i="97"/>
  <c r="J343" i="97"/>
  <c r="J344" i="97"/>
  <c r="J345" i="97"/>
  <c r="J346" i="97"/>
  <c r="J347" i="97"/>
  <c r="J348" i="97"/>
  <c r="J349" i="97"/>
  <c r="J350" i="97"/>
  <c r="J351" i="97"/>
  <c r="J352" i="97"/>
  <c r="J353" i="97"/>
  <c r="J354" i="97"/>
  <c r="J355" i="97"/>
  <c r="J356" i="97"/>
  <c r="J357" i="97"/>
  <c r="J358" i="97"/>
  <c r="J359" i="97"/>
  <c r="J360" i="97"/>
  <c r="J361" i="97"/>
  <c r="J362" i="97"/>
  <c r="J363" i="97"/>
  <c r="J364" i="97"/>
  <c r="J365" i="97"/>
  <c r="J366" i="97"/>
  <c r="J367" i="97"/>
  <c r="J368" i="97"/>
  <c r="J369" i="97"/>
  <c r="J370" i="97"/>
  <c r="J371" i="97"/>
  <c r="J372" i="97"/>
  <c r="J373" i="97"/>
  <c r="J374" i="97"/>
  <c r="J375" i="97"/>
  <c r="J376" i="97"/>
  <c r="J377" i="97"/>
  <c r="J378" i="97"/>
  <c r="J379" i="97"/>
  <c r="J380" i="97"/>
  <c r="J381" i="97"/>
  <c r="J382" i="97"/>
  <c r="J383" i="97"/>
  <c r="J384" i="97"/>
  <c r="J385" i="97"/>
  <c r="J386" i="97"/>
  <c r="J387" i="97"/>
  <c r="J388" i="97"/>
  <c r="J389" i="97"/>
  <c r="J390" i="97"/>
  <c r="J391" i="97"/>
  <c r="J392" i="97"/>
  <c r="J393" i="97"/>
  <c r="J394" i="97"/>
  <c r="J395" i="97"/>
  <c r="J396" i="97"/>
  <c r="J397" i="97"/>
  <c r="J398" i="97"/>
  <c r="J399" i="97"/>
  <c r="J400" i="97"/>
  <c r="J401" i="97"/>
  <c r="J402" i="97"/>
  <c r="J403" i="97"/>
  <c r="J404" i="97"/>
  <c r="J405" i="97"/>
  <c r="J406" i="97"/>
  <c r="J407" i="97"/>
  <c r="J408" i="97"/>
  <c r="J409" i="97"/>
  <c r="J410" i="97"/>
  <c r="J411" i="97"/>
  <c r="J412" i="97"/>
  <c r="J413" i="97"/>
  <c r="J414" i="97"/>
  <c r="J415" i="97"/>
  <c r="J416" i="97"/>
  <c r="J417" i="97"/>
  <c r="J418" i="97"/>
  <c r="J419" i="97"/>
  <c r="J420" i="97"/>
  <c r="J421" i="97"/>
  <c r="J422" i="97"/>
  <c r="J423" i="97"/>
  <c r="J424" i="97"/>
  <c r="J425" i="97"/>
  <c r="J426" i="97"/>
  <c r="J427" i="97"/>
  <c r="J428" i="97"/>
  <c r="J429" i="97"/>
  <c r="J430" i="97"/>
  <c r="J431" i="97"/>
  <c r="J432" i="97"/>
  <c r="J433" i="97"/>
  <c r="J434" i="97"/>
  <c r="J435" i="97"/>
  <c r="J436" i="97"/>
  <c r="J437" i="97"/>
  <c r="J438" i="97"/>
  <c r="J439" i="97"/>
  <c r="J440" i="97"/>
  <c r="J441" i="97"/>
  <c r="J442" i="97"/>
  <c r="J443" i="97"/>
  <c r="J444" i="97"/>
  <c r="J445" i="97"/>
  <c r="J446" i="97"/>
  <c r="J447" i="97"/>
  <c r="J448" i="97"/>
  <c r="J449" i="97"/>
  <c r="J450" i="97"/>
  <c r="J451" i="97"/>
  <c r="J452" i="97"/>
  <c r="J453" i="97"/>
  <c r="J454" i="97"/>
  <c r="J455" i="97"/>
  <c r="J456" i="97"/>
  <c r="J457" i="97"/>
  <c r="J458" i="97"/>
  <c r="J459" i="97"/>
  <c r="J460" i="97"/>
  <c r="J461" i="97"/>
  <c r="J462" i="97"/>
  <c r="J463" i="97"/>
  <c r="J464" i="97"/>
  <c r="J465" i="97"/>
  <c r="J466" i="97"/>
  <c r="J467" i="97"/>
  <c r="J468" i="97"/>
  <c r="J469" i="97"/>
  <c r="J470" i="97"/>
  <c r="J471" i="97"/>
  <c r="J472" i="97"/>
  <c r="J473" i="97"/>
  <c r="J474" i="97"/>
  <c r="J475" i="97"/>
  <c r="J476" i="97"/>
  <c r="J477" i="97"/>
  <c r="J478" i="97"/>
  <c r="J479" i="97"/>
  <c r="J480" i="97"/>
  <c r="J481" i="97"/>
  <c r="J482" i="97"/>
  <c r="J483" i="97"/>
  <c r="J484" i="97"/>
  <c r="J485" i="97"/>
  <c r="J486" i="97"/>
  <c r="J487" i="97"/>
  <c r="J488" i="97"/>
  <c r="J489" i="97"/>
  <c r="J490" i="97"/>
  <c r="J491" i="97"/>
  <c r="J492" i="97"/>
  <c r="J493" i="97"/>
  <c r="J494" i="97"/>
  <c r="J495" i="97"/>
  <c r="J496" i="97"/>
  <c r="J497" i="97"/>
  <c r="J498" i="97"/>
  <c r="J499" i="97"/>
  <c r="J500" i="97"/>
  <c r="J501" i="97"/>
  <c r="J502" i="97"/>
  <c r="J503" i="97"/>
  <c r="J504" i="97"/>
  <c r="J505" i="97"/>
  <c r="J506" i="97"/>
  <c r="J507" i="97"/>
  <c r="J508" i="97"/>
  <c r="J509" i="97"/>
  <c r="J510" i="97"/>
  <c r="J511" i="97"/>
  <c r="J512" i="97"/>
  <c r="J513" i="97"/>
  <c r="J514" i="97"/>
  <c r="J515" i="97"/>
  <c r="J516" i="97"/>
  <c r="J517" i="97"/>
  <c r="J518" i="97"/>
  <c r="J519" i="97"/>
  <c r="J520" i="97"/>
  <c r="J521" i="97"/>
  <c r="J522" i="97"/>
  <c r="J523" i="97"/>
  <c r="J524" i="97"/>
  <c r="J525" i="97"/>
  <c r="J526" i="97"/>
  <c r="J527" i="97"/>
  <c r="J528" i="97"/>
  <c r="J529" i="97"/>
  <c r="J530" i="97"/>
  <c r="J531" i="97"/>
  <c r="J532" i="97"/>
  <c r="J533" i="97"/>
  <c r="J534" i="97"/>
  <c r="J535" i="97"/>
  <c r="J536" i="97"/>
  <c r="J537" i="97"/>
  <c r="J538" i="97"/>
  <c r="J539" i="97"/>
  <c r="J540" i="97"/>
  <c r="J541" i="97"/>
  <c r="J542" i="97"/>
  <c r="J543" i="97"/>
  <c r="J544" i="97"/>
  <c r="J545" i="97"/>
  <c r="J546" i="97"/>
  <c r="J547" i="97"/>
  <c r="J548" i="97"/>
  <c r="J549" i="97"/>
  <c r="J550" i="97"/>
  <c r="J551" i="97"/>
  <c r="J552" i="97"/>
  <c r="J553" i="97"/>
  <c r="J554" i="97"/>
  <c r="J555" i="97"/>
  <c r="J556" i="97"/>
  <c r="J557" i="97"/>
  <c r="J558" i="97"/>
  <c r="J559" i="97"/>
  <c r="J560" i="97"/>
  <c r="J561" i="97"/>
  <c r="J562" i="97"/>
  <c r="J563" i="97"/>
  <c r="J564" i="97"/>
  <c r="J565" i="97"/>
  <c r="J566" i="97"/>
  <c r="J567" i="97"/>
  <c r="J568" i="97"/>
  <c r="J569" i="97"/>
  <c r="J570" i="97"/>
  <c r="J571" i="97"/>
  <c r="J572" i="97"/>
  <c r="J573" i="97"/>
  <c r="J574" i="97"/>
  <c r="J575" i="97"/>
  <c r="J576" i="97"/>
  <c r="J577" i="97"/>
  <c r="J578" i="97"/>
  <c r="J579" i="97"/>
  <c r="J580" i="97"/>
  <c r="J581" i="97"/>
  <c r="J582" i="97"/>
  <c r="J583" i="97"/>
  <c r="J584" i="97"/>
  <c r="J585" i="97"/>
  <c r="J586" i="97"/>
  <c r="J587" i="97"/>
  <c r="J588" i="97"/>
  <c r="J589" i="97"/>
  <c r="J590" i="97"/>
  <c r="J591" i="97"/>
  <c r="J592" i="97"/>
  <c r="J593" i="97"/>
  <c r="J594" i="97"/>
  <c r="J595" i="97"/>
  <c r="J596" i="97"/>
  <c r="J597" i="97"/>
  <c r="J598" i="97"/>
  <c r="J599" i="97"/>
  <c r="J600" i="97"/>
  <c r="J601" i="97"/>
  <c r="J602" i="97"/>
  <c r="J603" i="97"/>
  <c r="J604" i="97"/>
  <c r="J605" i="97"/>
  <c r="J606" i="97"/>
  <c r="J607" i="97"/>
  <c r="J608" i="97"/>
  <c r="J609" i="97"/>
  <c r="J610" i="97"/>
  <c r="J611" i="97"/>
  <c r="J612" i="97"/>
  <c r="J613" i="97"/>
  <c r="J614" i="97"/>
  <c r="J615" i="97"/>
  <c r="J616" i="97"/>
  <c r="J617" i="97"/>
  <c r="J618" i="97"/>
  <c r="J619" i="97"/>
  <c r="J620" i="97"/>
  <c r="J621" i="97"/>
  <c r="J622" i="97"/>
  <c r="J623" i="97"/>
  <c r="J624" i="97"/>
  <c r="J625" i="97"/>
  <c r="J626" i="97"/>
  <c r="J627" i="97"/>
  <c r="J628" i="97"/>
  <c r="J629" i="97"/>
  <c r="J630" i="97"/>
  <c r="J631" i="97"/>
  <c r="J632" i="97"/>
  <c r="J633" i="97"/>
  <c r="J634" i="97"/>
  <c r="J635" i="97"/>
  <c r="J636" i="97"/>
  <c r="J637" i="97"/>
  <c r="J638" i="97"/>
  <c r="J639" i="97"/>
  <c r="J640" i="97"/>
  <c r="J641" i="97"/>
  <c r="J642" i="97"/>
  <c r="J643" i="97"/>
  <c r="J644" i="97"/>
  <c r="J645" i="97"/>
  <c r="J646" i="97"/>
  <c r="J647" i="97"/>
  <c r="J648" i="97"/>
  <c r="J649" i="97"/>
  <c r="J650" i="97"/>
  <c r="J651" i="97"/>
  <c r="J652" i="97"/>
  <c r="J653" i="97"/>
  <c r="J654" i="97"/>
  <c r="J655" i="97"/>
  <c r="J656" i="97"/>
  <c r="J657" i="97"/>
  <c r="J658" i="97"/>
  <c r="J659" i="97"/>
  <c r="J660" i="97"/>
  <c r="J661" i="97"/>
  <c r="J662" i="97"/>
  <c r="J663" i="97"/>
  <c r="J664" i="97"/>
  <c r="J665" i="97"/>
  <c r="J666" i="97"/>
  <c r="J667" i="97"/>
  <c r="J668" i="97"/>
  <c r="J669" i="97"/>
  <c r="J670" i="97"/>
  <c r="J671" i="97"/>
  <c r="J672" i="97"/>
  <c r="J673" i="97"/>
  <c r="J674" i="97"/>
  <c r="J675" i="97"/>
  <c r="J676" i="97"/>
  <c r="J677" i="97"/>
  <c r="J678" i="97"/>
  <c r="J679" i="97"/>
  <c r="J680" i="97"/>
  <c r="J681" i="97"/>
  <c r="J682" i="97"/>
  <c r="J683" i="97"/>
  <c r="J684" i="97"/>
  <c r="J685" i="97"/>
  <c r="J686" i="97"/>
  <c r="J687" i="97"/>
  <c r="J688" i="97"/>
  <c r="J689" i="97"/>
  <c r="J690" i="97"/>
  <c r="J691" i="97"/>
  <c r="J692" i="97"/>
  <c r="J693" i="97"/>
  <c r="J694" i="97"/>
  <c r="J695" i="97"/>
  <c r="J696" i="97"/>
  <c r="J697" i="97"/>
  <c r="J698" i="97"/>
  <c r="J699" i="97"/>
  <c r="J700" i="97"/>
  <c r="J701" i="97"/>
  <c r="J702" i="97"/>
  <c r="J703" i="97"/>
  <c r="J704" i="97"/>
  <c r="J705" i="97"/>
  <c r="J706" i="97"/>
  <c r="J707" i="97"/>
  <c r="J708" i="97"/>
  <c r="J709" i="97"/>
  <c r="J710" i="97"/>
  <c r="J711" i="97"/>
  <c r="J712" i="97"/>
  <c r="J713" i="97"/>
  <c r="J714" i="97"/>
  <c r="J715" i="97"/>
  <c r="J716" i="97"/>
  <c r="J717" i="97"/>
  <c r="J718" i="97"/>
  <c r="J719" i="97"/>
  <c r="J720" i="97"/>
  <c r="J721" i="97"/>
  <c r="J722" i="97"/>
  <c r="J723" i="97"/>
  <c r="J724" i="97"/>
  <c r="J725" i="97"/>
  <c r="J726" i="97"/>
  <c r="J727" i="97"/>
  <c r="J728" i="97"/>
  <c r="J729" i="97"/>
  <c r="J730" i="97"/>
  <c r="J731" i="97"/>
  <c r="J732" i="97"/>
  <c r="J733" i="97"/>
  <c r="J734" i="97"/>
  <c r="J735" i="97"/>
  <c r="J736" i="97"/>
  <c r="J737" i="97"/>
  <c r="J738" i="97"/>
  <c r="J739" i="97"/>
  <c r="J740" i="97"/>
  <c r="J741" i="97"/>
  <c r="J742" i="97"/>
  <c r="J743" i="97"/>
  <c r="J744" i="97"/>
  <c r="J745" i="97"/>
  <c r="J746" i="97"/>
  <c r="J747" i="97"/>
  <c r="J748" i="97"/>
  <c r="J749" i="97"/>
  <c r="J750" i="97"/>
  <c r="J751" i="97"/>
  <c r="J752" i="97"/>
  <c r="J753" i="97"/>
  <c r="J754" i="97"/>
  <c r="J755" i="97"/>
  <c r="J756" i="97"/>
  <c r="J757" i="97"/>
  <c r="J758" i="97"/>
  <c r="J759" i="97"/>
  <c r="J760" i="97"/>
  <c r="J761" i="97"/>
  <c r="J762" i="97"/>
  <c r="J763" i="97"/>
  <c r="J764" i="97"/>
  <c r="J765" i="97"/>
  <c r="J766" i="97"/>
  <c r="J767" i="97"/>
  <c r="J768" i="97"/>
  <c r="J769" i="97"/>
  <c r="J770" i="97"/>
  <c r="J771" i="97"/>
  <c r="J772" i="97"/>
  <c r="J773" i="97"/>
  <c r="J774" i="97"/>
  <c r="J775" i="97"/>
  <c r="J776" i="97"/>
  <c r="J777" i="97"/>
  <c r="J778" i="97"/>
  <c r="J779" i="97"/>
  <c r="J780" i="97"/>
  <c r="J781" i="97"/>
  <c r="J782" i="97"/>
  <c r="J783" i="97"/>
  <c r="J784" i="97"/>
  <c r="J785" i="97"/>
  <c r="J786" i="97"/>
  <c r="J787" i="97"/>
  <c r="J788" i="97"/>
  <c r="J789" i="97"/>
  <c r="J790" i="97"/>
  <c r="J791" i="97"/>
  <c r="J792" i="97"/>
  <c r="J793" i="97"/>
  <c r="J794" i="97"/>
  <c r="J795" i="97"/>
  <c r="J796" i="97"/>
  <c r="J797" i="97"/>
  <c r="J798" i="97"/>
  <c r="J799" i="97"/>
  <c r="J800" i="97"/>
  <c r="J801" i="97"/>
  <c r="J802" i="97"/>
  <c r="J803" i="97"/>
  <c r="J804" i="97"/>
  <c r="J805" i="97"/>
  <c r="J806" i="97"/>
  <c r="J807" i="97"/>
  <c r="J808" i="97"/>
  <c r="J809" i="97"/>
  <c r="J810" i="97"/>
  <c r="J811" i="97"/>
  <c r="J812" i="97"/>
  <c r="J813" i="97"/>
  <c r="J814" i="97"/>
  <c r="J815" i="97"/>
  <c r="J816" i="97"/>
  <c r="J817" i="97"/>
  <c r="J818" i="97"/>
  <c r="J819" i="97"/>
  <c r="J820" i="97"/>
  <c r="J821" i="97"/>
  <c r="J822" i="97"/>
  <c r="J823" i="97"/>
  <c r="J824" i="97"/>
  <c r="J825" i="97"/>
  <c r="J826" i="97"/>
  <c r="J827" i="97"/>
  <c r="J828" i="97"/>
  <c r="J829" i="97"/>
  <c r="J830" i="97"/>
  <c r="J831" i="97"/>
  <c r="J832" i="97"/>
  <c r="J833" i="97"/>
  <c r="J834" i="97"/>
  <c r="J835" i="97"/>
  <c r="J836" i="97"/>
  <c r="J837" i="97"/>
  <c r="J838" i="97"/>
  <c r="J839" i="97"/>
  <c r="J840" i="97"/>
  <c r="J841" i="97"/>
  <c r="J842" i="97"/>
  <c r="J843" i="97"/>
  <c r="J844" i="97"/>
  <c r="J845" i="97"/>
  <c r="J846" i="97"/>
  <c r="J847" i="97"/>
  <c r="J848" i="97"/>
  <c r="J849" i="97"/>
  <c r="J850" i="97"/>
  <c r="J851" i="97"/>
  <c r="J852" i="97"/>
  <c r="J853" i="97"/>
  <c r="J854" i="97"/>
  <c r="J855" i="97"/>
  <c r="J856" i="97"/>
  <c r="J857" i="97"/>
  <c r="J858" i="97"/>
  <c r="J859" i="97"/>
  <c r="J860" i="97"/>
  <c r="J861" i="97"/>
  <c r="J862" i="97"/>
  <c r="J863" i="97"/>
  <c r="J864" i="97"/>
  <c r="J865" i="97"/>
  <c r="J866" i="97"/>
  <c r="J867" i="97"/>
  <c r="J868" i="97"/>
  <c r="J869" i="97"/>
  <c r="J870" i="97"/>
  <c r="J871" i="97"/>
  <c r="J872" i="97"/>
  <c r="J873" i="97"/>
  <c r="J874" i="97"/>
  <c r="J875" i="97"/>
  <c r="J876" i="97"/>
  <c r="J877" i="97"/>
  <c r="J878" i="97"/>
  <c r="J879" i="97"/>
  <c r="J880" i="97"/>
  <c r="J881" i="97"/>
  <c r="J882" i="97"/>
  <c r="J883" i="97"/>
  <c r="J884" i="97"/>
  <c r="J885" i="97"/>
  <c r="J886" i="97"/>
  <c r="J887" i="97"/>
  <c r="J888" i="97"/>
  <c r="J889" i="97"/>
  <c r="J890" i="97"/>
  <c r="J891" i="97"/>
  <c r="J892" i="97"/>
  <c r="J893" i="97"/>
  <c r="J894" i="97"/>
  <c r="J895" i="97"/>
  <c r="J896" i="97"/>
  <c r="J897" i="97"/>
  <c r="J898" i="97"/>
  <c r="J899" i="97"/>
  <c r="J900" i="97"/>
  <c r="J901" i="97"/>
  <c r="J902" i="97"/>
  <c r="J903" i="97"/>
  <c r="J904" i="97"/>
  <c r="J905" i="97"/>
  <c r="J906" i="97"/>
  <c r="J907" i="97"/>
  <c r="J908" i="97"/>
  <c r="J909" i="97"/>
  <c r="J910" i="97"/>
  <c r="J911" i="97"/>
  <c r="J912" i="97"/>
  <c r="J913" i="97"/>
  <c r="J914" i="97"/>
  <c r="J915" i="97"/>
  <c r="J916" i="97"/>
  <c r="J917" i="97"/>
  <c r="J918" i="97"/>
  <c r="J919" i="97"/>
  <c r="J920" i="97"/>
  <c r="J921" i="97"/>
  <c r="J922" i="97"/>
  <c r="J923" i="97"/>
  <c r="J924" i="97"/>
  <c r="J925" i="97"/>
  <c r="J926" i="97"/>
  <c r="J927" i="97"/>
  <c r="J928" i="97"/>
  <c r="J929" i="97"/>
  <c r="J930" i="97"/>
  <c r="J931" i="97"/>
  <c r="J932" i="97"/>
  <c r="J933" i="97"/>
  <c r="J934" i="97"/>
  <c r="J935" i="97"/>
  <c r="J936" i="97"/>
  <c r="J937" i="97"/>
  <c r="J938" i="97"/>
  <c r="J939" i="97"/>
  <c r="J940" i="97"/>
  <c r="J941" i="97"/>
  <c r="J942" i="97"/>
  <c r="J943" i="97"/>
  <c r="J944" i="97"/>
  <c r="J945" i="97"/>
  <c r="J946" i="97"/>
  <c r="J947" i="97"/>
  <c r="J948" i="97"/>
  <c r="J949" i="97"/>
  <c r="J950" i="97"/>
  <c r="J951" i="97"/>
  <c r="J952" i="97"/>
  <c r="J953" i="97"/>
  <c r="J954" i="97"/>
  <c r="J955" i="97"/>
  <c r="J956" i="97"/>
  <c r="J957" i="97"/>
  <c r="J958" i="97"/>
  <c r="J959" i="97"/>
  <c r="J960" i="97"/>
  <c r="J961" i="97"/>
  <c r="J962" i="97"/>
  <c r="J963" i="97"/>
  <c r="J964" i="97"/>
  <c r="J965" i="97"/>
  <c r="J966" i="97"/>
  <c r="J967" i="97"/>
  <c r="J968" i="97"/>
  <c r="J969" i="97"/>
  <c r="J970" i="97"/>
  <c r="J971" i="97"/>
  <c r="J972" i="97"/>
  <c r="J973" i="97"/>
  <c r="J974" i="97"/>
  <c r="J975" i="97"/>
  <c r="J976" i="97"/>
  <c r="J977" i="97"/>
  <c r="J978" i="97"/>
  <c r="J979" i="97"/>
  <c r="J980" i="97"/>
  <c r="J981" i="97"/>
  <c r="J982" i="97"/>
  <c r="J983" i="97"/>
  <c r="J984" i="97"/>
  <c r="J985" i="97"/>
  <c r="J986" i="97"/>
  <c r="J987" i="97"/>
  <c r="J988" i="97"/>
  <c r="J989" i="97"/>
  <c r="J990" i="97"/>
  <c r="J991" i="97"/>
  <c r="J992" i="97"/>
  <c r="J993" i="97"/>
  <c r="J994" i="97"/>
  <c r="J995" i="97"/>
  <c r="J996" i="97"/>
  <c r="J997" i="97"/>
  <c r="J998" i="97"/>
  <c r="J999" i="97"/>
  <c r="J1000" i="97"/>
  <c r="J1001" i="97"/>
  <c r="J1002" i="97"/>
  <c r="J1003" i="97"/>
  <c r="J1004" i="97"/>
  <c r="J1005" i="97"/>
  <c r="J1006" i="97"/>
  <c r="J1007" i="97"/>
  <c r="J1008" i="97"/>
  <c r="J9" i="97" l="1"/>
  <c r="P12" i="3" l="1"/>
  <c r="L10" i="3"/>
  <c r="L9" i="3"/>
  <c r="L8" i="3" s="1"/>
  <c r="L7" i="3" s="1"/>
  <c r="L6" i="3" s="1"/>
  <c r="L5" i="3" s="1"/>
  <c r="L4" i="3" s="1"/>
  <c r="L3" i="3" s="1"/>
  <c r="L2" i="3" s="1"/>
  <c r="L1" i="3" s="1"/>
  <c r="A6" i="3"/>
  <c r="A5" i="3"/>
  <c r="A4" i="3"/>
  <c r="M2" i="3"/>
  <c r="A2" i="3"/>
  <c r="A1" i="3"/>
  <c r="BW40" i="49"/>
  <c r="BP20" i="49"/>
  <c r="BO20" i="49"/>
  <c r="BN20" i="49"/>
  <c r="BM20" i="49"/>
  <c r="BL20" i="49"/>
  <c r="BK20" i="49"/>
  <c r="BP19" i="49"/>
  <c r="BT5" i="49"/>
  <c r="BW4" i="49"/>
  <c r="BT4" i="49"/>
  <c r="BT3" i="49"/>
  <c r="BU4" i="49"/>
  <c r="BV2" i="49" s="1"/>
  <c r="BP1" i="49"/>
  <c r="F83" i="91"/>
  <c r="D9" i="91"/>
  <c r="D8" i="91"/>
  <c r="D6" i="91"/>
  <c r="E3" i="91"/>
  <c r="L1008" i="97"/>
  <c r="L1007" i="97"/>
  <c r="L1006" i="97"/>
  <c r="L1005" i="97"/>
  <c r="L1004" i="97"/>
  <c r="L1003" i="97"/>
  <c r="L1002" i="97"/>
  <c r="L1001" i="97"/>
  <c r="L1000" i="97"/>
  <c r="L999" i="97"/>
  <c r="L998" i="97"/>
  <c r="L997" i="97"/>
  <c r="L996" i="97"/>
  <c r="L995" i="97"/>
  <c r="L994" i="97"/>
  <c r="L993" i="97"/>
  <c r="L992" i="97"/>
  <c r="L991" i="97"/>
  <c r="L990" i="97"/>
  <c r="L989" i="97"/>
  <c r="L988" i="97"/>
  <c r="L987" i="97"/>
  <c r="L986" i="97"/>
  <c r="L985" i="97"/>
  <c r="L984" i="97"/>
  <c r="L983" i="97"/>
  <c r="L982" i="97"/>
  <c r="L981" i="97"/>
  <c r="L980" i="97"/>
  <c r="L979" i="97"/>
  <c r="L978" i="97"/>
  <c r="L977" i="97"/>
  <c r="L976" i="97"/>
  <c r="L975" i="97"/>
  <c r="L974" i="97"/>
  <c r="L973" i="97"/>
  <c r="L972" i="97"/>
  <c r="L971" i="97"/>
  <c r="L970" i="97"/>
  <c r="L969" i="97"/>
  <c r="L968" i="97"/>
  <c r="L967" i="97"/>
  <c r="L966" i="97"/>
  <c r="L965" i="97"/>
  <c r="L964" i="97"/>
  <c r="L963" i="97"/>
  <c r="L962" i="97"/>
  <c r="L961" i="97"/>
  <c r="L960" i="97"/>
  <c r="L959" i="97"/>
  <c r="L958" i="97"/>
  <c r="L957" i="97"/>
  <c r="L956" i="97"/>
  <c r="L955" i="97"/>
  <c r="L954" i="97"/>
  <c r="L953" i="97"/>
  <c r="L952" i="97"/>
  <c r="L951" i="97"/>
  <c r="L950" i="97"/>
  <c r="L949" i="97"/>
  <c r="L948" i="97"/>
  <c r="L947" i="97"/>
  <c r="L946" i="97"/>
  <c r="L945" i="97"/>
  <c r="L944" i="97"/>
  <c r="L943" i="97"/>
  <c r="L942" i="97"/>
  <c r="L941" i="97"/>
  <c r="L940" i="97"/>
  <c r="L939" i="97"/>
  <c r="L938" i="97"/>
  <c r="L937" i="97"/>
  <c r="L936" i="97"/>
  <c r="L935" i="97"/>
  <c r="L934" i="97"/>
  <c r="L933" i="97"/>
  <c r="L932" i="97"/>
  <c r="L931" i="97"/>
  <c r="L930" i="97"/>
  <c r="L929" i="97"/>
  <c r="L928" i="97"/>
  <c r="L927" i="97"/>
  <c r="L926" i="97"/>
  <c r="L925" i="97"/>
  <c r="L924" i="97"/>
  <c r="L923" i="97"/>
  <c r="L922" i="97"/>
  <c r="L921" i="97"/>
  <c r="L920" i="97"/>
  <c r="L919" i="97"/>
  <c r="L918" i="97"/>
  <c r="L917" i="97"/>
  <c r="L916" i="97"/>
  <c r="L915" i="97"/>
  <c r="L914" i="97"/>
  <c r="L913" i="97"/>
  <c r="L912" i="97"/>
  <c r="L911" i="97"/>
  <c r="L910" i="97"/>
  <c r="L909" i="97"/>
  <c r="L908" i="97"/>
  <c r="L907" i="97"/>
  <c r="L906" i="97"/>
  <c r="L905" i="97"/>
  <c r="L904" i="97"/>
  <c r="L903" i="97"/>
  <c r="L902" i="97"/>
  <c r="L901" i="97"/>
  <c r="L900" i="97"/>
  <c r="L899" i="97"/>
  <c r="L898" i="97"/>
  <c r="L897" i="97"/>
  <c r="L896" i="97"/>
  <c r="L895" i="97"/>
  <c r="L894" i="97"/>
  <c r="L893" i="97"/>
  <c r="L892" i="97"/>
  <c r="L891" i="97"/>
  <c r="L890" i="97"/>
  <c r="L889" i="97"/>
  <c r="L888" i="97"/>
  <c r="L887" i="97"/>
  <c r="L886" i="97"/>
  <c r="L885" i="97"/>
  <c r="L884" i="97"/>
  <c r="L883" i="97"/>
  <c r="L882" i="97"/>
  <c r="L881" i="97"/>
  <c r="L880" i="97"/>
  <c r="L879" i="97"/>
  <c r="L878" i="97"/>
  <c r="L877" i="97"/>
  <c r="L876" i="97"/>
  <c r="L875" i="97"/>
  <c r="L874" i="97"/>
  <c r="L873" i="97"/>
  <c r="L872" i="97"/>
  <c r="L871" i="97"/>
  <c r="L870" i="97"/>
  <c r="L869" i="97"/>
  <c r="L868" i="97"/>
  <c r="L867" i="97"/>
  <c r="L866" i="97"/>
  <c r="L865" i="97"/>
  <c r="L864" i="97"/>
  <c r="L863" i="97"/>
  <c r="L862" i="97"/>
  <c r="L861" i="97"/>
  <c r="L860" i="97"/>
  <c r="L859" i="97"/>
  <c r="L858" i="97"/>
  <c r="L857" i="97"/>
  <c r="L856" i="97"/>
  <c r="L855" i="97"/>
  <c r="L854" i="97"/>
  <c r="L853" i="97"/>
  <c r="L852" i="97"/>
  <c r="L851" i="97"/>
  <c r="L850" i="97"/>
  <c r="L849" i="97"/>
  <c r="L848" i="97"/>
  <c r="L847" i="97"/>
  <c r="L846" i="97"/>
  <c r="L845" i="97"/>
  <c r="L844" i="97"/>
  <c r="L843" i="97"/>
  <c r="L842" i="97"/>
  <c r="L841" i="97"/>
  <c r="L840" i="97"/>
  <c r="L839" i="97"/>
  <c r="L838" i="97"/>
  <c r="L837" i="97"/>
  <c r="L836" i="97"/>
  <c r="L835" i="97"/>
  <c r="L834" i="97"/>
  <c r="L833" i="97"/>
  <c r="L832" i="97"/>
  <c r="L831" i="97"/>
  <c r="L830" i="97"/>
  <c r="L829" i="97"/>
  <c r="L828" i="97"/>
  <c r="L827" i="97"/>
  <c r="L826" i="97"/>
  <c r="L825" i="97"/>
  <c r="L824" i="97"/>
  <c r="L823" i="97"/>
  <c r="L822" i="97"/>
  <c r="L821" i="97"/>
  <c r="L820" i="97"/>
  <c r="L819" i="97"/>
  <c r="L818" i="97"/>
  <c r="L817" i="97"/>
  <c r="L816" i="97"/>
  <c r="L815" i="97"/>
  <c r="L814" i="97"/>
  <c r="L813" i="97"/>
  <c r="L812" i="97"/>
  <c r="L811" i="97"/>
  <c r="L810" i="97"/>
  <c r="L809" i="97"/>
  <c r="L808" i="97"/>
  <c r="L807" i="97"/>
  <c r="L806" i="97"/>
  <c r="L805" i="97"/>
  <c r="L804" i="97"/>
  <c r="L803" i="97"/>
  <c r="L802" i="97"/>
  <c r="L801" i="97"/>
  <c r="L800" i="97"/>
  <c r="L799" i="97"/>
  <c r="L798" i="97"/>
  <c r="L797" i="97"/>
  <c r="L796" i="97"/>
  <c r="L795" i="97"/>
  <c r="L794" i="97"/>
  <c r="L793" i="97"/>
  <c r="L792" i="97"/>
  <c r="L791" i="97"/>
  <c r="L790" i="97"/>
  <c r="L789" i="97"/>
  <c r="L788" i="97"/>
  <c r="L787" i="97"/>
  <c r="L786" i="97"/>
  <c r="L785" i="97"/>
  <c r="L784" i="97"/>
  <c r="L783" i="97"/>
  <c r="L782" i="97"/>
  <c r="L781" i="97"/>
  <c r="L780" i="97"/>
  <c r="L779" i="97"/>
  <c r="L778" i="97"/>
  <c r="L777" i="97"/>
  <c r="L776" i="97"/>
  <c r="L775" i="97"/>
  <c r="L774" i="97"/>
  <c r="L773" i="97"/>
  <c r="L772" i="97"/>
  <c r="L771" i="97"/>
  <c r="L770" i="97"/>
  <c r="L769" i="97"/>
  <c r="L768" i="97"/>
  <c r="L767" i="97"/>
  <c r="L766" i="97"/>
  <c r="L765" i="97"/>
  <c r="L764" i="97"/>
  <c r="L763" i="97"/>
  <c r="L762" i="97"/>
  <c r="L761" i="97"/>
  <c r="L760" i="97"/>
  <c r="L759" i="97"/>
  <c r="L758" i="97"/>
  <c r="L757" i="97"/>
  <c r="L756" i="97"/>
  <c r="L755" i="97"/>
  <c r="L754" i="97"/>
  <c r="L753" i="97"/>
  <c r="L752" i="97"/>
  <c r="L751" i="97"/>
  <c r="L750" i="97"/>
  <c r="L749" i="97"/>
  <c r="L748" i="97"/>
  <c r="L747" i="97"/>
  <c r="L746" i="97"/>
  <c r="L745" i="97"/>
  <c r="L744" i="97"/>
  <c r="L743" i="97"/>
  <c r="L742" i="97"/>
  <c r="L741" i="97"/>
  <c r="L740" i="97"/>
  <c r="L739" i="97"/>
  <c r="L738" i="97"/>
  <c r="L737" i="97"/>
  <c r="L736" i="97"/>
  <c r="L735" i="97"/>
  <c r="L734" i="97"/>
  <c r="L733" i="97"/>
  <c r="L732" i="97"/>
  <c r="L731" i="97"/>
  <c r="L730" i="97"/>
  <c r="L729" i="97"/>
  <c r="L728" i="97"/>
  <c r="L727" i="97"/>
  <c r="L726" i="97"/>
  <c r="L725" i="97"/>
  <c r="L724" i="97"/>
  <c r="L723" i="97"/>
  <c r="L722" i="97"/>
  <c r="L721" i="97"/>
  <c r="L720" i="97"/>
  <c r="L719" i="97"/>
  <c r="L718" i="97"/>
  <c r="L717" i="97"/>
  <c r="L716" i="97"/>
  <c r="L715" i="97"/>
  <c r="L714" i="97"/>
  <c r="L713" i="97"/>
  <c r="L712" i="97"/>
  <c r="L711" i="97"/>
  <c r="L710" i="97"/>
  <c r="L709" i="97"/>
  <c r="L708" i="97"/>
  <c r="L707" i="97"/>
  <c r="L706" i="97"/>
  <c r="L705" i="97"/>
  <c r="L704" i="97"/>
  <c r="L703" i="97"/>
  <c r="L702" i="97"/>
  <c r="L701" i="97"/>
  <c r="L700" i="97"/>
  <c r="L699" i="97"/>
  <c r="L698" i="97"/>
  <c r="L697" i="97"/>
  <c r="L696" i="97"/>
  <c r="L695" i="97"/>
  <c r="L694" i="97"/>
  <c r="L693" i="97"/>
  <c r="L692" i="97"/>
  <c r="L691" i="97"/>
  <c r="L690" i="97"/>
  <c r="L689" i="97"/>
  <c r="L688" i="97"/>
  <c r="L687" i="97"/>
  <c r="L686" i="97"/>
  <c r="L685" i="97"/>
  <c r="L684" i="97"/>
  <c r="L683" i="97"/>
  <c r="L682" i="97"/>
  <c r="L681" i="97"/>
  <c r="L680" i="97"/>
  <c r="L679" i="97"/>
  <c r="L678" i="97"/>
  <c r="L677" i="97"/>
  <c r="L676" i="97"/>
  <c r="L675" i="97"/>
  <c r="L674" i="97"/>
  <c r="L673" i="97"/>
  <c r="L672" i="97"/>
  <c r="L671" i="97"/>
  <c r="L670" i="97"/>
  <c r="L669" i="97"/>
  <c r="L668" i="97"/>
  <c r="L667" i="97"/>
  <c r="L666" i="97"/>
  <c r="L665" i="97"/>
  <c r="L664" i="97"/>
  <c r="L663" i="97"/>
  <c r="L662" i="97"/>
  <c r="L661" i="97"/>
  <c r="L660" i="97"/>
  <c r="L659" i="97"/>
  <c r="L658" i="97"/>
  <c r="L657" i="97"/>
  <c r="L656" i="97"/>
  <c r="L655" i="97"/>
  <c r="L654" i="97"/>
  <c r="L653" i="97"/>
  <c r="L652" i="97"/>
  <c r="L651" i="97"/>
  <c r="L650" i="97"/>
  <c r="L649" i="97"/>
  <c r="L648" i="97"/>
  <c r="L647" i="97"/>
  <c r="L646" i="97"/>
  <c r="L645" i="97"/>
  <c r="L644" i="97"/>
  <c r="L643" i="97"/>
  <c r="L642" i="97"/>
  <c r="L641" i="97"/>
  <c r="L640" i="97"/>
  <c r="L639" i="97"/>
  <c r="L638" i="97"/>
  <c r="L637" i="97"/>
  <c r="L636" i="97"/>
  <c r="L635" i="97"/>
  <c r="L634" i="97"/>
  <c r="L633" i="97"/>
  <c r="L632" i="97"/>
  <c r="L631" i="97"/>
  <c r="L630" i="97"/>
  <c r="L629" i="97"/>
  <c r="L628" i="97"/>
  <c r="L627" i="97"/>
  <c r="L626" i="97"/>
  <c r="L625" i="97"/>
  <c r="L624" i="97"/>
  <c r="L623" i="97"/>
  <c r="L622" i="97"/>
  <c r="L621" i="97"/>
  <c r="L620" i="97"/>
  <c r="L619" i="97"/>
  <c r="L618" i="97"/>
  <c r="L617" i="97"/>
  <c r="L616" i="97"/>
  <c r="L615" i="97"/>
  <c r="L614" i="97"/>
  <c r="L613" i="97"/>
  <c r="L612" i="97"/>
  <c r="L611" i="97"/>
  <c r="L610" i="97"/>
  <c r="L609" i="97"/>
  <c r="L608" i="97"/>
  <c r="L607" i="97"/>
  <c r="L606" i="97"/>
  <c r="L605" i="97"/>
  <c r="L604" i="97"/>
  <c r="L603" i="97"/>
  <c r="L602" i="97"/>
  <c r="L601" i="97"/>
  <c r="L600" i="97"/>
  <c r="L599" i="97"/>
  <c r="L598" i="97"/>
  <c r="L597" i="97"/>
  <c r="L596" i="97"/>
  <c r="L595" i="97"/>
  <c r="L594" i="97"/>
  <c r="L593" i="97"/>
  <c r="L592" i="97"/>
  <c r="L591" i="97"/>
  <c r="L590" i="97"/>
  <c r="L589" i="97"/>
  <c r="L588" i="97"/>
  <c r="L587" i="97"/>
  <c r="L586" i="97"/>
  <c r="L585" i="97"/>
  <c r="L584" i="97"/>
  <c r="L583" i="97"/>
  <c r="L582" i="97"/>
  <c r="L581" i="97"/>
  <c r="L580" i="97"/>
  <c r="L579" i="97"/>
  <c r="L578" i="97"/>
  <c r="L577" i="97"/>
  <c r="L576" i="97"/>
  <c r="L575" i="97"/>
  <c r="L574" i="97"/>
  <c r="L573" i="97"/>
  <c r="L572" i="97"/>
  <c r="L571" i="97"/>
  <c r="L570" i="97"/>
  <c r="L569" i="97"/>
  <c r="L568" i="97"/>
  <c r="L567" i="97"/>
  <c r="L566" i="97"/>
  <c r="L565" i="97"/>
  <c r="L564" i="97"/>
  <c r="L563" i="97"/>
  <c r="L562" i="97"/>
  <c r="L561" i="97"/>
  <c r="L560" i="97"/>
  <c r="L559" i="97"/>
  <c r="L558" i="97"/>
  <c r="L557" i="97"/>
  <c r="L556" i="97"/>
  <c r="L555" i="97"/>
  <c r="L554" i="97"/>
  <c r="L553" i="97"/>
  <c r="L552" i="97"/>
  <c r="L551" i="97"/>
  <c r="L550" i="97"/>
  <c r="L549" i="97"/>
  <c r="L548" i="97"/>
  <c r="L547" i="97"/>
  <c r="L546" i="97"/>
  <c r="L545" i="97"/>
  <c r="L544" i="97"/>
  <c r="L543" i="97"/>
  <c r="L542" i="97"/>
  <c r="L541" i="97"/>
  <c r="L540" i="97"/>
  <c r="L539" i="97"/>
  <c r="L538" i="97"/>
  <c r="L537" i="97"/>
  <c r="L536" i="97"/>
  <c r="L535" i="97"/>
  <c r="L534" i="97"/>
  <c r="L533" i="97"/>
  <c r="L532" i="97"/>
  <c r="L531" i="97"/>
  <c r="L530" i="97"/>
  <c r="L529" i="97"/>
  <c r="L528" i="97"/>
  <c r="L527" i="97"/>
  <c r="L526" i="97"/>
  <c r="L525" i="97"/>
  <c r="L524" i="97"/>
  <c r="L523" i="97"/>
  <c r="L522" i="97"/>
  <c r="L521" i="97"/>
  <c r="L520" i="97"/>
  <c r="L519" i="97"/>
  <c r="L518" i="97"/>
  <c r="L517" i="97"/>
  <c r="L516" i="97"/>
  <c r="L515" i="97"/>
  <c r="L514" i="97"/>
  <c r="L513" i="97"/>
  <c r="L512" i="97"/>
  <c r="L511" i="97"/>
  <c r="L510" i="97"/>
  <c r="L509" i="97"/>
  <c r="L508" i="97"/>
  <c r="L507" i="97"/>
  <c r="L506" i="97"/>
  <c r="L505" i="97"/>
  <c r="L504" i="97"/>
  <c r="L503" i="97"/>
  <c r="L502" i="97"/>
  <c r="L501" i="97"/>
  <c r="L500" i="97"/>
  <c r="L499" i="97"/>
  <c r="L498" i="97"/>
  <c r="L497" i="97"/>
  <c r="L496" i="97"/>
  <c r="L495" i="97"/>
  <c r="L494" i="97"/>
  <c r="L493" i="97"/>
  <c r="L492" i="97"/>
  <c r="L491" i="97"/>
  <c r="L490" i="97"/>
  <c r="L489" i="97"/>
  <c r="L488" i="97"/>
  <c r="L487" i="97"/>
  <c r="L486" i="97"/>
  <c r="L485" i="97"/>
  <c r="L484" i="97"/>
  <c r="L483" i="97"/>
  <c r="L482" i="97"/>
  <c r="L481" i="97"/>
  <c r="L480" i="97"/>
  <c r="L479" i="97"/>
  <c r="L478" i="97"/>
  <c r="L477" i="97"/>
  <c r="L476" i="97"/>
  <c r="L475" i="97"/>
  <c r="L474" i="97"/>
  <c r="L473" i="97"/>
  <c r="L472" i="97"/>
  <c r="L471" i="97"/>
  <c r="L470" i="97"/>
  <c r="L469" i="97"/>
  <c r="L468" i="97"/>
  <c r="L467" i="97"/>
  <c r="L466" i="97"/>
  <c r="L465" i="97"/>
  <c r="L464" i="97"/>
  <c r="L463" i="97"/>
  <c r="L462" i="97"/>
  <c r="L461" i="97"/>
  <c r="L460" i="97"/>
  <c r="L459" i="97"/>
  <c r="L458" i="97"/>
  <c r="L457" i="97"/>
  <c r="L456" i="97"/>
  <c r="L455" i="97"/>
  <c r="L454" i="97"/>
  <c r="L453" i="97"/>
  <c r="L452" i="97"/>
  <c r="L451" i="97"/>
  <c r="L450" i="97"/>
  <c r="L449" i="97"/>
  <c r="L448" i="97"/>
  <c r="L447" i="97"/>
  <c r="L446" i="97"/>
  <c r="L445" i="97"/>
  <c r="L444" i="97"/>
  <c r="L443" i="97"/>
  <c r="L442" i="97"/>
  <c r="L441" i="97"/>
  <c r="L440" i="97"/>
  <c r="L439" i="97"/>
  <c r="L438" i="97"/>
  <c r="L437" i="97"/>
  <c r="L436" i="97"/>
  <c r="L435" i="97"/>
  <c r="L434" i="97"/>
  <c r="L433" i="97"/>
  <c r="L432" i="97"/>
  <c r="L431" i="97"/>
  <c r="L430" i="97"/>
  <c r="L429" i="97"/>
  <c r="L428" i="97"/>
  <c r="L427" i="97"/>
  <c r="L426" i="97"/>
  <c r="L425" i="97"/>
  <c r="L424" i="97"/>
  <c r="L423" i="97"/>
  <c r="L422" i="97"/>
  <c r="L421" i="97"/>
  <c r="L420" i="97"/>
  <c r="L419" i="97"/>
  <c r="L418" i="97"/>
  <c r="L417" i="97"/>
  <c r="L416" i="97"/>
  <c r="L415" i="97"/>
  <c r="L414" i="97"/>
  <c r="L413" i="97"/>
  <c r="L412" i="97"/>
  <c r="L411" i="97"/>
  <c r="L410" i="97"/>
  <c r="L409" i="97"/>
  <c r="L408" i="97"/>
  <c r="L407" i="97"/>
  <c r="L406" i="97"/>
  <c r="L405" i="97"/>
  <c r="L404" i="97"/>
  <c r="L403" i="97"/>
  <c r="L402" i="97"/>
  <c r="L401" i="97"/>
  <c r="L400" i="97"/>
  <c r="L399" i="97"/>
  <c r="L398" i="97"/>
  <c r="L397" i="97"/>
  <c r="L396" i="97"/>
  <c r="L395" i="97"/>
  <c r="L394" i="97"/>
  <c r="L393" i="97"/>
  <c r="L392" i="97"/>
  <c r="L391" i="97"/>
  <c r="L390" i="97"/>
  <c r="L389" i="97"/>
  <c r="L388" i="97"/>
  <c r="L387" i="97"/>
  <c r="L386" i="97"/>
  <c r="L385" i="97"/>
  <c r="L384" i="97"/>
  <c r="L383" i="97"/>
  <c r="L382" i="97"/>
  <c r="L381" i="97"/>
  <c r="L380" i="97"/>
  <c r="L379" i="97"/>
  <c r="L378" i="97"/>
  <c r="L377" i="97"/>
  <c r="L376" i="97"/>
  <c r="L375" i="97"/>
  <c r="L374" i="97"/>
  <c r="L373" i="97"/>
  <c r="L372" i="97"/>
  <c r="L371" i="97"/>
  <c r="L370" i="97"/>
  <c r="L369" i="97"/>
  <c r="L368" i="97"/>
  <c r="L367" i="97"/>
  <c r="L366" i="97"/>
  <c r="L365" i="97"/>
  <c r="L364" i="97"/>
  <c r="L363" i="97"/>
  <c r="L362" i="97"/>
  <c r="L361" i="97"/>
  <c r="L360" i="97"/>
  <c r="L359" i="97"/>
  <c r="L358" i="97"/>
  <c r="L357" i="97"/>
  <c r="L356" i="97"/>
  <c r="L355" i="97"/>
  <c r="L354" i="97"/>
  <c r="L353" i="97"/>
  <c r="L352" i="97"/>
  <c r="L351" i="97"/>
  <c r="L350" i="97"/>
  <c r="L349" i="97"/>
  <c r="L348" i="97"/>
  <c r="L347" i="97"/>
  <c r="L346" i="97"/>
  <c r="L345" i="97"/>
  <c r="L344" i="97"/>
  <c r="L343" i="97"/>
  <c r="L342" i="97"/>
  <c r="L341" i="97"/>
  <c r="L340" i="97"/>
  <c r="L339" i="97"/>
  <c r="L338" i="97"/>
  <c r="L337" i="97"/>
  <c r="L336" i="97"/>
  <c r="L335" i="97"/>
  <c r="L334" i="97"/>
  <c r="L333" i="97"/>
  <c r="L332" i="97"/>
  <c r="L331" i="97"/>
  <c r="L330" i="97"/>
  <c r="L329" i="97"/>
  <c r="L328" i="97"/>
  <c r="L327" i="97"/>
  <c r="L326" i="97"/>
  <c r="L325" i="97"/>
  <c r="L324" i="97"/>
  <c r="L323" i="97"/>
  <c r="L322" i="97"/>
  <c r="L321" i="97"/>
  <c r="L320" i="97"/>
  <c r="L319" i="97"/>
  <c r="L318" i="97"/>
  <c r="L317" i="97"/>
  <c r="L316" i="97"/>
  <c r="L315" i="97"/>
  <c r="L314" i="97"/>
  <c r="L313" i="97"/>
  <c r="L312" i="97"/>
  <c r="L311" i="97"/>
  <c r="L310" i="97"/>
  <c r="L309" i="97"/>
  <c r="L308" i="97"/>
  <c r="L307" i="97"/>
  <c r="L306" i="97"/>
  <c r="L305" i="97"/>
  <c r="L304" i="97"/>
  <c r="L303" i="97"/>
  <c r="L302" i="97"/>
  <c r="L301" i="97"/>
  <c r="L300" i="97"/>
  <c r="L299" i="97"/>
  <c r="L298" i="97"/>
  <c r="L297" i="97"/>
  <c r="L296" i="97"/>
  <c r="L295" i="97"/>
  <c r="L294" i="97"/>
  <c r="L293" i="97"/>
  <c r="L292" i="97"/>
  <c r="L291" i="97"/>
  <c r="L290" i="97"/>
  <c r="L289" i="97"/>
  <c r="L288" i="97"/>
  <c r="L287" i="97"/>
  <c r="L286" i="97"/>
  <c r="L285" i="97"/>
  <c r="L284" i="97"/>
  <c r="L283" i="97"/>
  <c r="L282" i="97"/>
  <c r="L281" i="97"/>
  <c r="L280" i="97"/>
  <c r="L279" i="97"/>
  <c r="L278" i="97"/>
  <c r="L277" i="97"/>
  <c r="L276" i="97"/>
  <c r="L275" i="97"/>
  <c r="L274" i="97"/>
  <c r="L273" i="97"/>
  <c r="L272" i="97"/>
  <c r="L271" i="97"/>
  <c r="L270" i="97"/>
  <c r="L269" i="97"/>
  <c r="L268" i="97"/>
  <c r="L267" i="97"/>
  <c r="L266" i="97"/>
  <c r="L265" i="97"/>
  <c r="L264" i="97"/>
  <c r="L263" i="97"/>
  <c r="L262" i="97"/>
  <c r="L261" i="97"/>
  <c r="L260" i="97"/>
  <c r="L259" i="97"/>
  <c r="L258" i="97"/>
  <c r="L257" i="97"/>
  <c r="L256" i="97"/>
  <c r="L255" i="97"/>
  <c r="L254" i="97"/>
  <c r="L253" i="97"/>
  <c r="L252" i="97"/>
  <c r="L251" i="97"/>
  <c r="L250" i="97"/>
  <c r="L249" i="97"/>
  <c r="L248" i="97"/>
  <c r="L247" i="97"/>
  <c r="L246" i="97"/>
  <c r="L245" i="97"/>
  <c r="L244" i="97"/>
  <c r="L243" i="97"/>
  <c r="L242" i="97"/>
  <c r="L241" i="97"/>
  <c r="L240" i="97"/>
  <c r="L239" i="97"/>
  <c r="L238" i="97"/>
  <c r="L237" i="97"/>
  <c r="L236" i="97"/>
  <c r="L235" i="97"/>
  <c r="L234" i="97"/>
  <c r="L233" i="97"/>
  <c r="L232" i="97"/>
  <c r="L231" i="97"/>
  <c r="L230" i="97"/>
  <c r="L229" i="97"/>
  <c r="L228" i="97"/>
  <c r="L227" i="97"/>
  <c r="L226" i="97"/>
  <c r="L225" i="97"/>
  <c r="L224" i="97"/>
  <c r="L223" i="97"/>
  <c r="L222" i="97"/>
  <c r="L221" i="97"/>
  <c r="L220" i="97"/>
  <c r="L219" i="97"/>
  <c r="L218" i="97"/>
  <c r="L217" i="97"/>
  <c r="L216" i="97"/>
  <c r="L215" i="97"/>
  <c r="L214" i="97"/>
  <c r="L213" i="97"/>
  <c r="L212" i="97"/>
  <c r="L211" i="97"/>
  <c r="L210" i="97"/>
  <c r="L209" i="97"/>
  <c r="L208" i="97"/>
  <c r="L207" i="97"/>
  <c r="L206" i="97"/>
  <c r="L205" i="97"/>
  <c r="L204" i="97"/>
  <c r="L203" i="97"/>
  <c r="L202" i="97"/>
  <c r="L201" i="97"/>
  <c r="L200" i="97"/>
  <c r="L199" i="97"/>
  <c r="L198" i="97"/>
  <c r="L197" i="97"/>
  <c r="L196" i="97"/>
  <c r="L195" i="97"/>
  <c r="L194" i="97"/>
  <c r="L193" i="97"/>
  <c r="L192" i="97"/>
  <c r="L191" i="97"/>
  <c r="L190" i="97"/>
  <c r="L189" i="97"/>
  <c r="L188" i="97"/>
  <c r="L187" i="97"/>
  <c r="L186" i="97"/>
  <c r="L185" i="97"/>
  <c r="L184" i="97"/>
  <c r="L183" i="97"/>
  <c r="L182" i="97"/>
  <c r="L181" i="97"/>
  <c r="L180" i="97"/>
  <c r="L179" i="97"/>
  <c r="L178" i="97"/>
  <c r="L177" i="97"/>
  <c r="L176" i="97"/>
  <c r="L175" i="97"/>
  <c r="L174" i="97"/>
  <c r="L173" i="97"/>
  <c r="L172" i="97"/>
  <c r="L171" i="97"/>
  <c r="L170" i="97"/>
  <c r="L169" i="97"/>
  <c r="L168" i="97"/>
  <c r="L167" i="97"/>
  <c r="L166" i="97"/>
  <c r="L165" i="97"/>
  <c r="L164" i="97"/>
  <c r="L163" i="97"/>
  <c r="L162" i="97"/>
  <c r="L161" i="97"/>
  <c r="L160" i="97"/>
  <c r="L159" i="97"/>
  <c r="L158" i="97"/>
  <c r="L157" i="97"/>
  <c r="L156" i="97"/>
  <c r="L155" i="97"/>
  <c r="L154" i="97"/>
  <c r="L153" i="97"/>
  <c r="L152" i="97"/>
  <c r="L151" i="97"/>
  <c r="L150" i="97"/>
  <c r="L149" i="97"/>
  <c r="L148" i="97"/>
  <c r="L147" i="97"/>
  <c r="L146" i="97"/>
  <c r="L145" i="97"/>
  <c r="L144" i="97"/>
  <c r="L143" i="97"/>
  <c r="L142" i="97"/>
  <c r="L141" i="97"/>
  <c r="L140" i="97"/>
  <c r="L139" i="97"/>
  <c r="L138" i="97"/>
  <c r="L137" i="97"/>
  <c r="L136" i="97"/>
  <c r="L135" i="97"/>
  <c r="L134" i="97"/>
  <c r="L133" i="97"/>
  <c r="L132" i="97"/>
  <c r="L131" i="97"/>
  <c r="L130" i="97"/>
  <c r="L129" i="97"/>
  <c r="L128" i="97"/>
  <c r="L127" i="97"/>
  <c r="L126" i="97"/>
  <c r="L125" i="97"/>
  <c r="L124" i="97"/>
  <c r="L123" i="97"/>
  <c r="L122" i="97"/>
  <c r="L121" i="97"/>
  <c r="L120" i="97"/>
  <c r="L119" i="97"/>
  <c r="L118" i="97"/>
  <c r="L117" i="97"/>
  <c r="L116" i="97"/>
  <c r="L115" i="97"/>
  <c r="L114" i="97"/>
  <c r="L113" i="97"/>
  <c r="L112" i="97"/>
  <c r="L111" i="97"/>
  <c r="L110" i="97"/>
  <c r="L109" i="97"/>
  <c r="L108" i="97"/>
  <c r="L107" i="97"/>
  <c r="L106" i="97"/>
  <c r="L105" i="97"/>
  <c r="L104" i="97"/>
  <c r="L103" i="97"/>
  <c r="L102" i="97"/>
  <c r="L101" i="97"/>
  <c r="L100" i="97"/>
  <c r="L99" i="97"/>
  <c r="L98" i="97"/>
  <c r="L97" i="97"/>
  <c r="L96" i="97"/>
  <c r="L95" i="97"/>
  <c r="L94" i="97"/>
  <c r="L93" i="97"/>
  <c r="L92" i="97"/>
  <c r="L91" i="97"/>
  <c r="L90" i="97"/>
  <c r="L89" i="97"/>
  <c r="L88" i="97"/>
  <c r="L87" i="97"/>
  <c r="L86" i="97"/>
  <c r="L85" i="97"/>
  <c r="L84" i="97"/>
  <c r="L83" i="97"/>
  <c r="L82" i="97"/>
  <c r="L81" i="97"/>
  <c r="L80" i="97"/>
  <c r="L79" i="97"/>
  <c r="L78" i="97"/>
  <c r="L77" i="97"/>
  <c r="L76" i="97"/>
  <c r="L75" i="97"/>
  <c r="L74" i="97"/>
  <c r="L73" i="97"/>
  <c r="L72" i="97"/>
  <c r="L71" i="97"/>
  <c r="L70" i="97"/>
  <c r="L69" i="97"/>
  <c r="L68" i="97"/>
  <c r="L67" i="97"/>
  <c r="L66" i="97"/>
  <c r="L65" i="97"/>
  <c r="L64" i="97"/>
  <c r="L63" i="97"/>
  <c r="L62" i="97"/>
  <c r="L61" i="97"/>
  <c r="L60" i="97"/>
  <c r="L59" i="97"/>
  <c r="L58" i="97"/>
  <c r="L57" i="97"/>
  <c r="L56" i="97"/>
  <c r="L55" i="97"/>
  <c r="L54" i="97"/>
  <c r="L53" i="97"/>
  <c r="L52" i="97"/>
  <c r="L51" i="97"/>
  <c r="L50" i="97"/>
  <c r="L49" i="97"/>
  <c r="L48" i="97"/>
  <c r="L47" i="97"/>
  <c r="L46" i="97"/>
  <c r="L45" i="97"/>
  <c r="L44" i="97"/>
  <c r="L43" i="97"/>
  <c r="L42" i="97"/>
  <c r="L41" i="97"/>
  <c r="L40" i="97"/>
  <c r="L39" i="97"/>
  <c r="L38" i="97"/>
  <c r="L37" i="97"/>
  <c r="L36" i="97"/>
  <c r="L35" i="97"/>
  <c r="L34" i="97"/>
  <c r="L33" i="97"/>
  <c r="L32" i="97"/>
  <c r="L31" i="97"/>
  <c r="L30" i="97"/>
  <c r="L29" i="97"/>
  <c r="L28" i="97"/>
  <c r="L27" i="97"/>
  <c r="L26" i="97"/>
  <c r="L25" i="97"/>
  <c r="L24" i="97"/>
  <c r="L23" i="97"/>
  <c r="L22" i="97"/>
  <c r="L21" i="97"/>
  <c r="L20" i="97"/>
  <c r="L19" i="97"/>
  <c r="L18" i="97"/>
  <c r="L17" i="97"/>
  <c r="L16" i="97"/>
  <c r="L15" i="97"/>
  <c r="L14" i="97"/>
  <c r="L13" i="97"/>
  <c r="L12" i="97"/>
  <c r="L11" i="97"/>
  <c r="L10" i="97"/>
  <c r="L9" i="97"/>
  <c r="D7" i="97"/>
  <c r="E6" i="97"/>
  <c r="D6" i="97"/>
  <c r="J5" i="97"/>
  <c r="H5" i="97"/>
  <c r="A5" i="97"/>
  <c r="H4" i="97"/>
  <c r="J3" i="97"/>
  <c r="H3" i="97"/>
  <c r="A3" i="97"/>
  <c r="J2" i="97"/>
  <c r="H2" i="97"/>
  <c r="A2" i="97"/>
  <c r="AP1" i="97"/>
  <c r="O54" i="1"/>
  <c r="K53" i="1"/>
  <c r="J53" i="1"/>
  <c r="K52" i="1"/>
  <c r="J52" i="1"/>
  <c r="K51" i="1"/>
  <c r="J51" i="1"/>
  <c r="K50" i="1"/>
  <c r="J50" i="1"/>
  <c r="K49" i="1"/>
  <c r="J49" i="1"/>
  <c r="K48" i="1"/>
  <c r="J48" i="1"/>
  <c r="K47" i="1"/>
  <c r="J47" i="1"/>
  <c r="K46" i="1"/>
  <c r="J46" i="1"/>
  <c r="K45" i="1"/>
  <c r="J45" i="1"/>
  <c r="K44" i="1"/>
  <c r="J44" i="1"/>
  <c r="K43" i="1"/>
  <c r="J43" i="1"/>
  <c r="K42" i="1"/>
  <c r="J42" i="1"/>
  <c r="K41" i="1"/>
  <c r="J41" i="1"/>
  <c r="K40" i="1"/>
  <c r="J40" i="1"/>
  <c r="K39" i="1"/>
  <c r="J39" i="1"/>
  <c r="K38" i="1"/>
  <c r="J38" i="1"/>
  <c r="K37" i="1"/>
  <c r="J37" i="1"/>
  <c r="K36" i="1"/>
  <c r="J36" i="1"/>
  <c r="K35" i="1"/>
  <c r="J35" i="1"/>
  <c r="K34" i="1"/>
  <c r="J34" i="1"/>
  <c r="K33" i="1"/>
  <c r="J33" i="1"/>
  <c r="K32" i="1"/>
  <c r="J32" i="1"/>
  <c r="K31" i="1"/>
  <c r="J31" i="1"/>
  <c r="K30" i="1"/>
  <c r="J30" i="1"/>
  <c r="K29" i="1"/>
  <c r="J29" i="1"/>
  <c r="K28" i="1"/>
  <c r="J28" i="1"/>
  <c r="K27" i="1"/>
  <c r="J27" i="1"/>
  <c r="K26" i="1"/>
  <c r="J26" i="1"/>
  <c r="K25" i="1"/>
  <c r="J25" i="1"/>
  <c r="K24" i="1"/>
  <c r="J24" i="1"/>
  <c r="K23" i="1"/>
  <c r="J23" i="1"/>
  <c r="K22" i="1"/>
  <c r="J22" i="1"/>
  <c r="K21" i="1"/>
  <c r="J21" i="1"/>
  <c r="K20" i="1"/>
  <c r="J20" i="1"/>
  <c r="K19" i="1"/>
  <c r="J19" i="1"/>
  <c r="K18" i="1"/>
  <c r="J18" i="1"/>
  <c r="K17" i="1"/>
  <c r="J17" i="1"/>
  <c r="K16" i="1"/>
  <c r="J16" i="1"/>
  <c r="K15" i="1"/>
  <c r="J15" i="1"/>
  <c r="K14" i="1"/>
  <c r="J14" i="1"/>
  <c r="K13" i="1"/>
  <c r="J13" i="1"/>
  <c r="K12" i="1"/>
  <c r="J12" i="1"/>
  <c r="K11" i="1"/>
  <c r="J11" i="1"/>
  <c r="K10" i="1"/>
  <c r="J10" i="1"/>
  <c r="K9" i="1"/>
  <c r="J9" i="1"/>
  <c r="K8" i="1"/>
  <c r="J8" i="1"/>
  <c r="K7" i="1"/>
  <c r="J7" i="1"/>
  <c r="K6" i="1"/>
  <c r="J6" i="1"/>
  <c r="K5" i="1"/>
  <c r="J5" i="1"/>
  <c r="C5" i="1"/>
  <c r="K4" i="1"/>
  <c r="J4" i="1"/>
  <c r="AX2" i="1"/>
  <c r="M2" i="1"/>
  <c r="I2" i="1"/>
  <c r="AV1" i="1"/>
  <c r="AT1" i="1"/>
  <c r="AT2" i="1" s="1"/>
  <c r="AT3" i="1" s="1"/>
  <c r="M1" i="1"/>
  <c r="I1" i="1"/>
  <c r="BK12" i="49"/>
  <c r="F51" i="91"/>
  <c r="BM2" i="49"/>
  <c r="D42" i="91"/>
  <c r="BO6" i="49"/>
  <c r="B57" i="1"/>
  <c r="BK7" i="49"/>
  <c r="C70" i="1"/>
  <c r="F50" i="91"/>
  <c r="B28" i="1"/>
  <c r="C88" i="1"/>
  <c r="C89" i="1"/>
  <c r="C65" i="1"/>
  <c r="C77" i="1"/>
  <c r="B71" i="1"/>
  <c r="H41" i="91"/>
  <c r="C94" i="1"/>
  <c r="C45" i="1"/>
  <c r="C81" i="1"/>
  <c r="B42" i="91"/>
  <c r="C57" i="1"/>
  <c r="C29" i="1"/>
  <c r="B48" i="1"/>
  <c r="B33" i="1"/>
  <c r="B85" i="1"/>
  <c r="C54" i="91"/>
  <c r="C43" i="1"/>
  <c r="C52" i="1"/>
  <c r="BM10" i="49"/>
  <c r="B49" i="1"/>
  <c r="B17" i="1"/>
  <c r="C99" i="1"/>
  <c r="G41" i="91"/>
  <c r="C31" i="1"/>
  <c r="E39" i="91"/>
  <c r="C39" i="91"/>
  <c r="D47" i="91"/>
  <c r="C55" i="91"/>
  <c r="E51" i="91"/>
  <c r="D49" i="91"/>
  <c r="D55" i="91"/>
  <c r="BK5" i="49"/>
  <c r="BK14" i="49"/>
  <c r="B94" i="1"/>
  <c r="C39" i="1"/>
  <c r="BP2" i="49"/>
  <c r="G54" i="91"/>
  <c r="F48" i="91"/>
  <c r="B78" i="1"/>
  <c r="G50" i="91"/>
  <c r="B99" i="1"/>
  <c r="B70" i="1"/>
  <c r="B58" i="1"/>
  <c r="G45" i="91"/>
  <c r="BM17" i="49"/>
  <c r="B16" i="1"/>
  <c r="H42" i="91"/>
  <c r="BO10" i="49"/>
  <c r="E38" i="91"/>
  <c r="C86" i="1"/>
  <c r="B38" i="91"/>
  <c r="B50" i="91"/>
  <c r="D41" i="91"/>
  <c r="C59" i="1"/>
  <c r="E55" i="91"/>
  <c r="G28" i="91"/>
  <c r="B39" i="1"/>
  <c r="B18" i="1"/>
  <c r="B43" i="1"/>
  <c r="C72" i="1"/>
  <c r="B73" i="1"/>
  <c r="E45" i="91"/>
  <c r="BM16" i="49"/>
  <c r="B51" i="1"/>
  <c r="F44" i="91"/>
  <c r="D46" i="91"/>
  <c r="B55" i="91"/>
  <c r="B96" i="1"/>
  <c r="B97" i="1"/>
  <c r="F55" i="91"/>
  <c r="BM13" i="49"/>
  <c r="B59" i="1"/>
  <c r="BL17" i="49"/>
  <c r="BP8" i="49"/>
  <c r="D53" i="91"/>
  <c r="BL8" i="49"/>
  <c r="B19" i="1"/>
  <c r="C41" i="91"/>
  <c r="G49" i="91"/>
  <c r="C84" i="1"/>
  <c r="C32" i="1"/>
  <c r="BP12" i="49"/>
  <c r="C91" i="1"/>
  <c r="B53" i="91"/>
  <c r="BL13" i="49"/>
  <c r="BP17" i="49"/>
  <c r="BM5" i="49"/>
  <c r="C38" i="91"/>
  <c r="H38" i="91"/>
  <c r="BN14" i="49"/>
  <c r="C34" i="1"/>
  <c r="D45" i="91"/>
  <c r="B54" i="91"/>
  <c r="B47" i="1"/>
  <c r="E20" i="1"/>
  <c r="C38" i="1"/>
  <c r="B30" i="1"/>
  <c r="BM4" i="49"/>
  <c r="B29" i="1"/>
  <c r="F54" i="91"/>
  <c r="C37" i="1"/>
  <c r="C42" i="91"/>
  <c r="BK2" i="49"/>
  <c r="BP6" i="49"/>
  <c r="BP16" i="49"/>
  <c r="F40" i="91"/>
  <c r="BN13" i="49"/>
  <c r="BP11" i="49"/>
  <c r="B46" i="91"/>
  <c r="C68" i="1"/>
  <c r="C50" i="1"/>
  <c r="BO7" i="49"/>
  <c r="C78" i="1"/>
  <c r="B91" i="1"/>
  <c r="BL2" i="49"/>
  <c r="C71" i="1"/>
  <c r="B52" i="91"/>
  <c r="D50" i="91"/>
  <c r="BM12" i="49"/>
  <c r="BK11" i="49"/>
  <c r="BO17" i="49"/>
  <c r="C53" i="91"/>
  <c r="B62" i="1"/>
  <c r="G44" i="91"/>
  <c r="C55" i="1"/>
  <c r="BP4" i="49"/>
  <c r="BK8" i="49"/>
  <c r="B76" i="1"/>
  <c r="BL16" i="49"/>
  <c r="C87" i="1"/>
  <c r="B60" i="1"/>
  <c r="B69" i="1"/>
  <c r="C50" i="91"/>
  <c r="C75" i="1"/>
  <c r="C30" i="1"/>
  <c r="G46" i="91"/>
  <c r="B88" i="1"/>
  <c r="B92" i="1"/>
  <c r="C27" i="1"/>
  <c r="F41" i="91"/>
  <c r="B68" i="1"/>
  <c r="B55" i="1"/>
  <c r="BK18" i="49"/>
  <c r="B35" i="91"/>
  <c r="C49" i="91"/>
  <c r="B45" i="91"/>
  <c r="E53" i="91"/>
  <c r="B52" i="1"/>
  <c r="B61" i="1"/>
  <c r="F42" i="91"/>
  <c r="E41" i="91"/>
  <c r="B37" i="1"/>
  <c r="H45" i="91"/>
  <c r="BP14" i="49"/>
  <c r="C69" i="1"/>
  <c r="BO12" i="49"/>
  <c r="C52" i="91"/>
  <c r="B31" i="1"/>
  <c r="C100" i="1"/>
  <c r="B48" i="91"/>
  <c r="H50" i="91"/>
  <c r="D51" i="91"/>
  <c r="B46" i="1"/>
  <c r="BN10" i="49"/>
  <c r="B74" i="1"/>
  <c r="C49" i="1"/>
  <c r="F47" i="91"/>
  <c r="E52" i="91"/>
  <c r="D52" i="91"/>
  <c r="E49" i="91"/>
  <c r="BP9" i="49"/>
  <c r="E40" i="91"/>
  <c r="BL18" i="49"/>
  <c r="C47" i="91"/>
  <c r="C93" i="1"/>
  <c r="H54" i="91"/>
  <c r="F46" i="91"/>
  <c r="BL4" i="49"/>
  <c r="C40" i="91"/>
  <c r="BK3" i="49"/>
  <c r="BN4" i="49"/>
  <c r="C48" i="1"/>
  <c r="BK10" i="49"/>
  <c r="B83" i="1"/>
  <c r="B56" i="1"/>
  <c r="B63" i="1"/>
  <c r="E48" i="91"/>
  <c r="C24" i="1"/>
  <c r="C61" i="1"/>
  <c r="B42" i="1"/>
  <c r="BP3" i="49"/>
  <c r="BN11" i="49"/>
  <c r="B79" i="1"/>
  <c r="BK9" i="49"/>
  <c r="BO8" i="49"/>
  <c r="C45" i="91"/>
  <c r="C53" i="1"/>
  <c r="G42" i="91"/>
  <c r="E50" i="91"/>
  <c r="D44" i="91"/>
  <c r="C97" i="1"/>
  <c r="D48" i="91"/>
  <c r="B72" i="1"/>
  <c r="D39" i="91"/>
  <c r="C73" i="1"/>
  <c r="E46" i="91"/>
  <c r="F38" i="91"/>
  <c r="C85" i="1"/>
  <c r="G51" i="91"/>
  <c r="B47" i="91"/>
  <c r="B100" i="1"/>
  <c r="C74" i="1"/>
  <c r="H48" i="91"/>
  <c r="B36" i="1"/>
  <c r="B32" i="1"/>
  <c r="BL11" i="49"/>
  <c r="C83" i="1"/>
  <c r="C25" i="1"/>
  <c r="G48" i="91"/>
  <c r="C33" i="1"/>
  <c r="BP18" i="49"/>
  <c r="BO15" i="49"/>
  <c r="B35" i="1"/>
  <c r="C90" i="1"/>
  <c r="B41" i="91"/>
  <c r="C41" i="1"/>
  <c r="C26" i="1"/>
  <c r="BK4" i="49"/>
  <c r="G47" i="91"/>
  <c r="B77" i="1"/>
  <c r="C28" i="1"/>
  <c r="BN12" i="49"/>
  <c r="G53" i="91"/>
  <c r="BN2" i="49"/>
  <c r="B26" i="1"/>
  <c r="C54" i="1"/>
  <c r="C64" i="1"/>
  <c r="G38" i="91"/>
  <c r="H52" i="91"/>
  <c r="F52" i="91"/>
  <c r="B81" i="1"/>
  <c r="BN18" i="49"/>
  <c r="BM7" i="49"/>
  <c r="F20" i="1"/>
  <c r="H46" i="91"/>
  <c r="BO5" i="49"/>
  <c r="BL9" i="49"/>
  <c r="BN6" i="49"/>
  <c r="G52" i="91"/>
  <c r="C56" i="1"/>
  <c r="BO14" i="49"/>
  <c r="G40" i="91"/>
  <c r="BL15" i="49"/>
  <c r="C48" i="91"/>
  <c r="B64" i="1"/>
  <c r="D54" i="91"/>
  <c r="B39" i="91"/>
  <c r="BM8" i="49"/>
  <c r="G39" i="91"/>
  <c r="C36" i="1"/>
  <c r="B95" i="1"/>
  <c r="BM6" i="49"/>
  <c r="BO18" i="49"/>
  <c r="C79" i="1"/>
  <c r="B27" i="1"/>
  <c r="E19" i="1"/>
  <c r="C66" i="1"/>
  <c r="B41" i="1"/>
  <c r="BL10" i="49"/>
  <c r="H51" i="91"/>
  <c r="BN9" i="49"/>
  <c r="BK17" i="49"/>
  <c r="B84" i="1"/>
  <c r="C80" i="1"/>
  <c r="B90" i="1"/>
  <c r="C60" i="1"/>
  <c r="BN8" i="49"/>
  <c r="BO4" i="49"/>
  <c r="H55" i="91"/>
  <c r="C44" i="1"/>
  <c r="BO13" i="49"/>
  <c r="B75" i="1"/>
  <c r="E44" i="91"/>
  <c r="BO16" i="49"/>
  <c r="C46" i="1"/>
  <c r="B45" i="1"/>
  <c r="H40" i="91"/>
  <c r="BM15" i="49"/>
  <c r="B82" i="1"/>
  <c r="BL12" i="49"/>
  <c r="BP5" i="49"/>
  <c r="C98" i="1"/>
  <c r="B50" i="1"/>
  <c r="BL7" i="49"/>
  <c r="BM11" i="49"/>
  <c r="B40" i="91"/>
  <c r="B38" i="1"/>
  <c r="C95" i="1"/>
  <c r="BK13" i="49"/>
  <c r="BM18" i="49"/>
  <c r="B24" i="1"/>
  <c r="B89" i="1"/>
  <c r="BM14" i="49"/>
  <c r="D38" i="91"/>
  <c r="H44" i="91"/>
  <c r="B87" i="1"/>
  <c r="C92" i="1"/>
  <c r="BL6" i="49"/>
  <c r="C46" i="91"/>
  <c r="C42" i="1"/>
  <c r="G30" i="91"/>
  <c r="B67" i="1"/>
  <c r="C14" i="1"/>
  <c r="B20" i="1"/>
  <c r="E47" i="91"/>
  <c r="H53" i="91"/>
  <c r="C47" i="1"/>
  <c r="BP7" i="49"/>
  <c r="C35" i="1"/>
  <c r="B93" i="1"/>
  <c r="E54" i="91"/>
  <c r="B44" i="91"/>
  <c r="BK16" i="49"/>
  <c r="BL5" i="49"/>
  <c r="H47" i="91"/>
  <c r="F53" i="91"/>
  <c r="B40" i="1"/>
  <c r="B25" i="1"/>
  <c r="B51" i="91"/>
  <c r="H49" i="91"/>
  <c r="F19" i="1"/>
  <c r="BP10" i="49"/>
  <c r="C62" i="1"/>
  <c r="BO2" i="49"/>
  <c r="BN16" i="49"/>
  <c r="BM9" i="49"/>
  <c r="BL3" i="49"/>
  <c r="E17" i="1"/>
  <c r="D35" i="91"/>
  <c r="C76" i="1"/>
  <c r="BP15" i="49"/>
  <c r="BL14" i="49"/>
  <c r="BM3" i="49"/>
  <c r="BN5" i="49"/>
  <c r="B54" i="1"/>
  <c r="B34" i="1"/>
  <c r="D40" i="91"/>
  <c r="BK6" i="49"/>
  <c r="BP13" i="49"/>
  <c r="BN17" i="49"/>
  <c r="C51" i="91"/>
  <c r="BN3" i="49"/>
  <c r="B65" i="1"/>
  <c r="BO3" i="49"/>
  <c r="BK15" i="49"/>
  <c r="C44" i="91"/>
  <c r="E18" i="1"/>
  <c r="C67" i="1"/>
  <c r="BO9" i="49"/>
  <c r="H39" i="91"/>
  <c r="B44" i="1"/>
  <c r="C58" i="1"/>
  <c r="C63" i="1"/>
  <c r="B53" i="1"/>
  <c r="B49" i="91"/>
  <c r="B98" i="1"/>
  <c r="C96" i="1"/>
  <c r="F39" i="91"/>
  <c r="E42" i="91"/>
  <c r="B86" i="1"/>
  <c r="C82" i="1"/>
  <c r="C51" i="1"/>
  <c r="F49" i="91"/>
  <c r="C40" i="1"/>
  <c r="F45" i="91"/>
  <c r="B66" i="1"/>
  <c r="BN15" i="49"/>
  <c r="G55" i="91"/>
  <c r="BO11" i="49"/>
  <c r="B80" i="1"/>
  <c r="BN7" i="49"/>
  <c r="A23" i="91" l="1"/>
  <c r="A18" i="91"/>
  <c r="A16" i="1"/>
  <c r="J4" i="97"/>
  <c r="A41" i="91"/>
  <c r="A19" i="1"/>
  <c r="A38" i="91"/>
  <c r="A39" i="91"/>
  <c r="A17" i="1"/>
  <c r="A42" i="91"/>
  <c r="A20" i="1"/>
  <c r="E14" i="1"/>
  <c r="A40" i="91"/>
  <c r="A18" i="1"/>
  <c r="G27" i="91"/>
  <c r="BQ18" i="49"/>
  <c r="BQ16" i="49"/>
  <c r="BQ14" i="49"/>
  <c r="BQ12" i="49"/>
  <c r="BQ10" i="49"/>
  <c r="BQ8" i="49"/>
  <c r="BQ17" i="49"/>
  <c r="BQ15" i="49"/>
  <c r="BQ13" i="49"/>
  <c r="BQ11" i="49"/>
  <c r="BQ9" i="49"/>
  <c r="BQ7" i="49"/>
  <c r="D7" i="91"/>
  <c r="A3" i="3"/>
  <c r="A4" i="97"/>
  <c r="BQ6" i="49"/>
  <c r="BQ2" i="49"/>
  <c r="BQ5" i="49"/>
  <c r="BQ3" i="49"/>
  <c r="BQ4" i="49"/>
  <c r="BU5" i="49"/>
  <c r="BT6" i="49"/>
  <c r="BV6" i="49" s="1"/>
  <c r="BW6" i="49" s="1"/>
  <c r="M3" i="3"/>
  <c r="P2" i="3"/>
  <c r="BV5" i="49"/>
  <c r="BW5" i="49" s="1"/>
  <c r="D11" i="91" l="1"/>
  <c r="A35" i="91" s="1"/>
  <c r="C35" i="91" s="1"/>
  <c r="E7" i="97"/>
  <c r="BP21" i="49"/>
  <c r="G29" i="91"/>
  <c r="P3" i="3"/>
  <c r="M4" i="3"/>
  <c r="BP22" i="49"/>
  <c r="BT7" i="49"/>
  <c r="BU6" i="49"/>
  <c r="BT8" i="49" l="1"/>
  <c r="BU7" i="49"/>
  <c r="BV7" i="49"/>
  <c r="BW7" i="49" s="1"/>
  <c r="M5" i="3"/>
  <c r="P4" i="3"/>
  <c r="BU8" i="49" l="1"/>
  <c r="BT9" i="49"/>
  <c r="BV9" i="49"/>
  <c r="BW9" i="49" s="1"/>
  <c r="P5" i="3"/>
  <c r="M6" i="3"/>
  <c r="BV8" i="49"/>
  <c r="BW8" i="49" s="1"/>
  <c r="BU9" i="49" l="1"/>
  <c r="BT10" i="49"/>
  <c r="BV10" i="49"/>
  <c r="BW10" i="49" s="1"/>
  <c r="M7" i="3"/>
  <c r="P6" i="3"/>
  <c r="M8" i="3" l="1"/>
  <c r="P7" i="3"/>
  <c r="BU10" i="49"/>
  <c r="BT11" i="49"/>
  <c r="BV11" i="49"/>
  <c r="BW11" i="49" s="1"/>
  <c r="BU11" i="49" l="1"/>
  <c r="BT12" i="49"/>
  <c r="BV12" i="49"/>
  <c r="BW12" i="49" s="1"/>
  <c r="P8" i="3"/>
  <c r="M9" i="3"/>
  <c r="M10" i="3" l="1"/>
  <c r="P9" i="3"/>
  <c r="BU12" i="49"/>
  <c r="BT13" i="49"/>
  <c r="BV13" i="49"/>
  <c r="BW13" i="49" s="1"/>
  <c r="BU13" i="49" l="1"/>
  <c r="BT14" i="49"/>
  <c r="BV14" i="49"/>
  <c r="BW14" i="49" s="1"/>
  <c r="P11" i="3"/>
  <c r="P10" i="3"/>
  <c r="BU14" i="49" l="1"/>
  <c r="BT15" i="49"/>
  <c r="BV15" i="49"/>
  <c r="BW15" i="49" s="1"/>
  <c r="BU15" i="49" l="1"/>
  <c r="BT16" i="49"/>
  <c r="BV16" i="49"/>
  <c r="BW16" i="49" s="1"/>
  <c r="BT17" i="49" l="1"/>
  <c r="BV17" i="49" s="1"/>
  <c r="BW17" i="49" s="1"/>
  <c r="BU16" i="49"/>
  <c r="BU17" i="49" l="1"/>
  <c r="BT18" i="49"/>
  <c r="BV18" i="49"/>
  <c r="BW18" i="49" s="1"/>
  <c r="BT19" i="49" l="1"/>
  <c r="BU18" i="49"/>
  <c r="BV19" i="49"/>
  <c r="BW19" i="49" s="1"/>
  <c r="BT20" i="49" l="1"/>
  <c r="BU19" i="49"/>
  <c r="BV20" i="49"/>
  <c r="BW20" i="49" s="1"/>
  <c r="BT21" i="49" l="1"/>
  <c r="BV21" i="49" s="1"/>
  <c r="BW21" i="49" s="1"/>
  <c r="BU20" i="49"/>
  <c r="BU21" i="49" l="1"/>
  <c r="BT22" i="49"/>
  <c r="BV22" i="49"/>
  <c r="BW22" i="49" s="1"/>
  <c r="BT23" i="49" l="1"/>
  <c r="BV23" i="49" s="1"/>
  <c r="BW23" i="49" s="1"/>
  <c r="BU22" i="49"/>
  <c r="BU23" i="49" l="1"/>
  <c r="BT24" i="49"/>
  <c r="BT25" i="49" l="1"/>
  <c r="BU24" i="49"/>
  <c r="BV25" i="49"/>
  <c r="BW25" i="49" s="1"/>
  <c r="BV24" i="49"/>
  <c r="BW24" i="49" s="1"/>
  <c r="BU25" i="49" l="1"/>
  <c r="BT26" i="49"/>
  <c r="BT27" i="49" l="1"/>
  <c r="BU26" i="49"/>
  <c r="BV27" i="49"/>
  <c r="BW27" i="49" s="1"/>
  <c r="BV26" i="49"/>
  <c r="BW26" i="49" s="1"/>
  <c r="BU27" i="49" l="1"/>
  <c r="BT28" i="49"/>
  <c r="BV28" i="49"/>
  <c r="BW28" i="49" s="1"/>
  <c r="BT29" i="49" l="1"/>
  <c r="BU28" i="49"/>
  <c r="BV29" i="49"/>
  <c r="BW29" i="49" s="1"/>
  <c r="BU29" i="49" l="1"/>
  <c r="BT30" i="49"/>
  <c r="BT31" i="49" l="1"/>
  <c r="BU30" i="49"/>
  <c r="BV31" i="49"/>
  <c r="BW31" i="49" s="1"/>
  <c r="BV30" i="49"/>
  <c r="BW30" i="49" s="1"/>
  <c r="BU31" i="49" l="1"/>
  <c r="BT32" i="49"/>
  <c r="BT33" i="49" l="1"/>
  <c r="BU32" i="49"/>
  <c r="BV33" i="49"/>
  <c r="BW33" i="49" s="1"/>
  <c r="BV32" i="49"/>
  <c r="BW32" i="49" s="1"/>
  <c r="BU33" i="49" l="1"/>
  <c r="BT34" i="49"/>
  <c r="BV34" i="49" s="1"/>
  <c r="BW34" i="49" s="1"/>
  <c r="BT35" i="49" l="1"/>
  <c r="BU34" i="49"/>
  <c r="BV35" i="49"/>
  <c r="BW35" i="49" s="1"/>
  <c r="BU35" i="49" l="1"/>
  <c r="BT36" i="49"/>
  <c r="BV36" i="49"/>
  <c r="BW36" i="49" s="1"/>
  <c r="BT37" i="49" l="1"/>
  <c r="BU36" i="49"/>
  <c r="BV37" i="49"/>
  <c r="BW37" i="49" s="1"/>
  <c r="BU37" i="49" l="1"/>
  <c r="BT38" i="49"/>
  <c r="BV38" i="49"/>
  <c r="BW38" i="49" s="1"/>
  <c r="BT39" i="49" l="1"/>
  <c r="BU38" i="49"/>
  <c r="BV39" i="49"/>
  <c r="BW39" i="49" s="1"/>
  <c r="BU39" i="49" l="1"/>
  <c r="BT40" i="49"/>
  <c r="BU40"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Muhammad Adil</author>
  </authors>
  <commentList>
    <comment ref="E7" authorId="0" shapeId="0" xr:uid="{5685704B-B31D-494F-AC88-594E83E22855}">
      <text>
        <r>
          <rPr>
            <b/>
            <sz val="9"/>
            <color indexed="81"/>
            <rFont val="Tahoma"/>
            <family val="2"/>
          </rPr>
          <t>Relative Marks</t>
        </r>
        <r>
          <rPr>
            <sz val="9"/>
            <color indexed="81"/>
            <rFont val="Tahoma"/>
            <family val="2"/>
          </rPr>
          <t xml:space="preserve"> are based on 
=          </t>
        </r>
        <r>
          <rPr>
            <u/>
            <sz val="9"/>
            <color indexed="81"/>
            <rFont val="Tahoma"/>
            <family val="2"/>
          </rPr>
          <t xml:space="preserve"> Marks * 100 </t>
        </r>
        <r>
          <rPr>
            <sz val="9"/>
            <color indexed="81"/>
            <rFont val="Tahoma"/>
            <family val="2"/>
          </rPr>
          <t xml:space="preserve"> 
(Average of top 6 students marks)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A46C65-EE82-426C-A124-E857F41DD444}" keepAlive="1" name="Query - chkVer" description="Connection to the 'chkVer' query in the workbook." type="5" refreshedVersion="7" background="1" saveData="1">
    <dbPr connection="Provider=Microsoft.Mashup.OleDb.1;Data Source=$Workbook$;Location=chkVer;Extended Properties=&quot;&quot;" command="SELECT * FROM [chkVer]"/>
  </connection>
  <connection id="2" xr16:uid="{C0DE2AFD-E33B-4D6B-82C2-6BC7997D7484}" keepAlive="1" name="Query - csv&amp;sheet=LatestVer" description="Connection to the 'csv&amp;sheet=LatestVer' query in the workbook." type="5" refreshedVersion="6" background="1">
    <dbPr connection="Provider=Microsoft.Mashup.OleDb.1;Data Source=$Workbook$;Location=&quot;csv&amp;sheet=LatestVer&quot;;Extended Properties=&quot;&quot;" command="SELECT * FROM [csv&amp;sheet=LatestVer]"/>
  </connection>
  <connection id="3" xr16:uid="{7DAD1BAE-24C6-499E-9610-6FA919FEC0A2}" keepAlive="1" name="Query - export?format=csv" description="Connection to the 'export?format=csv' query in the workbook." type="5" refreshedVersion="7" background="1" saveData="1">
    <dbPr connection="Provider=Microsoft.Mashup.OleDb.1;Data Source=$Workbook$;Location=&quot;export?format=csv&quot;;Extended Properties=&quot;&quot;" command="SELECT * FROM [export?format=csv]"/>
  </connection>
  <connection id="4" xr16:uid="{00000000-0015-0000-FFFF-FFFF03000000}" keepAlive="1" name="Query - LoadBatches" description="Connection to the 'LoadBatches' query in the workbook." type="5" refreshedVersion="7" minRefreshableVersion="3" background="1" saveData="1">
    <dbPr connection="Provider=Microsoft.Mashup.OleDb.1;Data Source=$Workbook$;Location=LoadBatches;Extended Properties=&quot;&quot;" command="SELECT * FROM [LoadBatches]"/>
  </connection>
  <connection id="5" xr16:uid="{00000000-0015-0000-FFFF-FFFF01000000}" keepAlive="1" name="Query - LoadCLOs" description="Connection to the 'LoadCLOs' query in the workbook." type="5" refreshedVersion="7" background="1" saveData="1">
    <dbPr connection="Provider=Microsoft.Mashup.OleDb.1;Data Source=$Workbook$;Location=LoadCLOs;Extended Properties=&quot;&quot;" command="SELECT * FROM [LoadCLOs]"/>
  </connection>
  <connection id="6" xr16:uid="{00000000-0015-0000-FFFF-FFFF00000000}" keepAlive="1" name="Query - LoadCourse" description="Connection to the 'LoadCourse' query in the workbook." type="5" refreshedVersion="7" minRefreshableVersion="3" background="1" saveData="1">
    <dbPr connection="Provider=Microsoft.Mashup.OleDb.1;Data Source=$Workbook$;Location=LoadCourse;Extended Properties=&quot;&quot;" command="SELECT * FROM [LoadCourse]"/>
  </connection>
  <connection id="7" xr16:uid="{00000000-0015-0000-FFFF-FFFF02000000}" keepAlive="1" name="Query - LoadFaculty" description="Connection to the 'LoadFaculty' query in the workbook." type="5" refreshedVersion="7" minRefreshableVersion="3" background="1" saveData="1">
    <dbPr connection="Provider=Microsoft.Mashup.OleDb.1;Data Source=$Workbook$;Location=LoadFaculty;Extended Properties=&quot;&quot;" command="SELECT * FROM [LoadFaculty]"/>
  </connection>
  <connection id="8" xr16:uid="{00000000-0015-0000-FFFF-FFFF04000000}" keepAlive="1" name="Query - LoadSectionStudents" description="Connection to the 'LoadSectionStudents' query in the workbook." type="5" refreshedVersion="7" background="1" saveData="1">
    <dbPr connection="Provider=Microsoft.Mashup.OleDb.1;Data Source=$Workbook$;Location=LoadSectionStudents;Extended Properties=&quot;&quot;" command="SELECT * FROM [LoadSectionStuden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<sst xmlns="http://schemas.openxmlformats.org/spreadsheetml/2006/main" count="2967" uniqueCount="1342">
  <si>
    <t>CE-411</t>
  </si>
  <si>
    <t>Subject Code</t>
  </si>
  <si>
    <t>CE-407 Project Planning, Mangt &amp; Engg Economics</t>
  </si>
  <si>
    <t>CE-112 Engineering Drawing for Civil Engineering</t>
  </si>
  <si>
    <t>CE-117 Engineering Mechanics</t>
  </si>
  <si>
    <t>CE-201 Mechanics of Solids-II</t>
  </si>
  <si>
    <t>CE-408 Environmental Engineering-II</t>
  </si>
  <si>
    <t>CE-209 Geo-Technical Engineering-I</t>
  </si>
  <si>
    <t>CE-212 Fluid Mechanics-II</t>
  </si>
  <si>
    <t>Project</t>
  </si>
  <si>
    <t>Steel Structure</t>
  </si>
  <si>
    <t>Project Planning, Mangt &amp; Engg Economics</t>
  </si>
  <si>
    <t>Engineering Drawing for Civil Engineering</t>
  </si>
  <si>
    <t>Engineering Geology &amp; Seismology</t>
  </si>
  <si>
    <t>Environmental Engineering-I</t>
  </si>
  <si>
    <t>Engineering Mechanics</t>
  </si>
  <si>
    <t>Mechanics of Solids-II</t>
  </si>
  <si>
    <t>Foundation Engineering</t>
  </si>
  <si>
    <t>Environmental Engineering-II</t>
  </si>
  <si>
    <t>Sustainable Dev. &amp; Disaster Risk Management</t>
  </si>
  <si>
    <t>Geo-Technical Engineering-I</t>
  </si>
  <si>
    <t>Fluid Mechanics-II</t>
  </si>
  <si>
    <t>CE-411 Project</t>
  </si>
  <si>
    <t>Course Code+Titile</t>
  </si>
  <si>
    <t>Course Code</t>
  </si>
  <si>
    <t>Course Title</t>
  </si>
  <si>
    <t>Faculty</t>
  </si>
  <si>
    <t>Email</t>
  </si>
  <si>
    <t>sadiakhattak@uetpeshawar.edu.pk</t>
  </si>
  <si>
    <t>javediqbal@uetpeshawar.edu.pk</t>
  </si>
  <si>
    <t>profamjad@uetpeshawar.edu.pk</t>
  </si>
  <si>
    <t>engrwasim@uetpeshawar.edu.pk</t>
  </si>
  <si>
    <t>Engr. Wasim Habib</t>
  </si>
  <si>
    <t>kamran@uetpeshawar.edu.pk</t>
  </si>
  <si>
    <t>Dr. Kamran</t>
  </si>
  <si>
    <t>engr.sajjad@uetpeshawar.edu.pk</t>
  </si>
  <si>
    <t>Engr. Sajjad Hussain</t>
  </si>
  <si>
    <t>engr.zahid@uetpeshawar.edu.pk</t>
  </si>
  <si>
    <t>Engr. Zahid Rehman</t>
  </si>
  <si>
    <t>engrazmat@uetpeshawar.edu.pk</t>
  </si>
  <si>
    <t>Engr. Azmat Ali Shah</t>
  </si>
  <si>
    <t>engrhamna@uetpeshar.edu.pk</t>
  </si>
  <si>
    <t>Engr. Hamna Shakeel</t>
  </si>
  <si>
    <t>engrirfan@uetpeshawar.edu.pk</t>
  </si>
  <si>
    <t>Engr. Irfan Ahmad Khan</t>
  </si>
  <si>
    <t>engrishfaq@uetpeshawar.edu.pk</t>
  </si>
  <si>
    <t>Engr. Ishfaq Takkar</t>
  </si>
  <si>
    <t>engrkamran@uetpeshawar.edu.pk</t>
  </si>
  <si>
    <t>Engr. Kamran</t>
  </si>
  <si>
    <t>engrwaqas@uetpeshawar.edu.pk</t>
  </si>
  <si>
    <t>Engr. Waqas Adil</t>
  </si>
  <si>
    <t>engryousaf@uetpeshar.edu.pk</t>
  </si>
  <si>
    <t>Engr. Yousaf Ali</t>
  </si>
  <si>
    <t>engrziaullah@uetpeshawar.edu.pk</t>
  </si>
  <si>
    <t>Engr. Zai Ullah</t>
  </si>
  <si>
    <t>mushtaq@uetpeshawar.edu.pk</t>
  </si>
  <si>
    <t>mansoor@uetpeshawar.edu.pk</t>
  </si>
  <si>
    <t>samiullah.qazi@uetpeshawar.edu.pk</t>
  </si>
  <si>
    <t>Dr. Qazi Samiullah</t>
  </si>
  <si>
    <t>abdulhameed@uetpeshawar.edu.pk</t>
  </si>
  <si>
    <t>Abdul Hameed</t>
  </si>
  <si>
    <t>adil@uetpeshawar.edu.pk</t>
  </si>
  <si>
    <t>arsalaan@uetpeshawar.edu.pk</t>
  </si>
  <si>
    <t>awais.ahmed@uetpeshawar.edu.pk</t>
  </si>
  <si>
    <t>ceadeel@uetpeshawar.edu.pk</t>
  </si>
  <si>
    <t>Engr. M. Adeel Arshad</t>
  </si>
  <si>
    <t>dr.bashir@uetpeshawar.edu.pk</t>
  </si>
  <si>
    <t>drakhtarnaeem@uetpeshawar.edu.pk</t>
  </si>
  <si>
    <t>Dr. Akhtar Naeem Khan</t>
  </si>
  <si>
    <t>drfahad@uetpeshawar.edu.pk</t>
  </si>
  <si>
    <t>Dr. Muhammad Fahad</t>
  </si>
  <si>
    <t>drqaisarali@uetpeshawar.edu.pk</t>
  </si>
  <si>
    <t>Dr. Qaisar Ali</t>
  </si>
  <si>
    <t>drrawid@uetpeshawar.edu.pk</t>
  </si>
  <si>
    <t>drtariq@uetpeshawar.edu.pk</t>
  </si>
  <si>
    <t>engr_ajmal@uetpeshawar.edu.pk</t>
  </si>
  <si>
    <t>Dr. Ajmal</t>
  </si>
  <si>
    <t>engrsafdar@uetpeshawar.edu.pk</t>
  </si>
  <si>
    <t>Engr. Safdar</t>
  </si>
  <si>
    <t>engrsalman@uetpeshawar.edu.pk</t>
  </si>
  <si>
    <t>engrzain@uetpeshawar.edu.pk</t>
  </si>
  <si>
    <t>Engr. Zain ul Abidin</t>
  </si>
  <si>
    <t>engrzia@uetpeshawar.edu.pk</t>
  </si>
  <si>
    <t>Engr. Zia ur Rehman</t>
  </si>
  <si>
    <t>faisal@uetpeshawar.edu.pk</t>
  </si>
  <si>
    <t>Engr. Faisal ur Rehman</t>
  </si>
  <si>
    <t>haleema@uetpeshawar.edu.pk</t>
  </si>
  <si>
    <t>irshadahmed@uetpeshawar.edu.pk</t>
  </si>
  <si>
    <t>khanshahzada@uetpeshawar.edu.pk</t>
  </si>
  <si>
    <t>Dr. Khan Shahzada</t>
  </si>
  <si>
    <t>marjan@uetpeshawar.edu.pk</t>
  </si>
  <si>
    <t>mashraf@uetpeshawar.edu.pk</t>
  </si>
  <si>
    <t>mrizwan@uetpeshawar.edu.pk</t>
  </si>
  <si>
    <t>mudassiriqbal@uetpeshawar.edu.pk</t>
  </si>
  <si>
    <t>mujahidkhan@uetpeshawar.edu.pk</t>
  </si>
  <si>
    <t>naveed.ahmad@uetpeshawar.edu.pk</t>
  </si>
  <si>
    <t>profali@uetpeshawar.edu.pk</t>
  </si>
  <si>
    <t>shahid.ullah@uetpeshawar.edu.pk</t>
  </si>
  <si>
    <t>tayyababibi@uetpeshawar.edu.pk</t>
  </si>
  <si>
    <t>waqasahmad_khan58@yahoo.com</t>
  </si>
  <si>
    <t>Engr. Waqas Ahmad</t>
  </si>
  <si>
    <t>Dr. Zai Ul Haq</t>
  </si>
  <si>
    <t>Engr. Nazia Arfeen</t>
  </si>
  <si>
    <t>Engr. Mehmood Alam</t>
  </si>
  <si>
    <t>Mr. Mushtaq Ahmad</t>
  </si>
  <si>
    <t>Column1</t>
  </si>
  <si>
    <t>Column2</t>
  </si>
  <si>
    <t>Column3</t>
  </si>
  <si>
    <t>Column4</t>
  </si>
  <si>
    <t>Column5</t>
  </si>
  <si>
    <t>Couse Code</t>
  </si>
  <si>
    <t>CLO Code</t>
  </si>
  <si>
    <t>CLO</t>
  </si>
  <si>
    <t>PLO Code</t>
  </si>
  <si>
    <t>Learning Type</t>
  </si>
  <si>
    <t>Learning Type Level</t>
  </si>
  <si>
    <t>Program Batch</t>
  </si>
  <si>
    <t>CE-117</t>
  </si>
  <si>
    <t>CLO1</t>
  </si>
  <si>
    <t>C</t>
  </si>
  <si>
    <t>CLO2</t>
  </si>
  <si>
    <t>CLO3</t>
  </si>
  <si>
    <t>CE-112</t>
  </si>
  <si>
    <t>CE-112L</t>
  </si>
  <si>
    <t>CE-206</t>
  </si>
  <si>
    <t>CE-201</t>
  </si>
  <si>
    <t>CE-210</t>
  </si>
  <si>
    <t>CE-212</t>
  </si>
  <si>
    <t>CE-212L</t>
  </si>
  <si>
    <t>CE-209</t>
  </si>
  <si>
    <t>CE-215</t>
  </si>
  <si>
    <t>CE-215L</t>
  </si>
  <si>
    <t>CE-313</t>
  </si>
  <si>
    <t>CE-313L</t>
  </si>
  <si>
    <t>CE-301</t>
  </si>
  <si>
    <t>CE-310</t>
  </si>
  <si>
    <t>CE-320</t>
  </si>
  <si>
    <t>CE-311</t>
  </si>
  <si>
    <t>CE-311L</t>
  </si>
  <si>
    <t>CE-421</t>
  </si>
  <si>
    <t>CE-416</t>
  </si>
  <si>
    <t>CE-408</t>
  </si>
  <si>
    <t>CE-409</t>
  </si>
  <si>
    <t>CE-407</t>
  </si>
  <si>
    <t>CE-407L</t>
  </si>
  <si>
    <t>CE-402</t>
  </si>
  <si>
    <t>Dr. Bashir Alam</t>
  </si>
  <si>
    <t>Dr. Mujahid Khan</t>
  </si>
  <si>
    <t>Dr. Rawid Khan</t>
  </si>
  <si>
    <t>Dr. Syed Muhammad Ali</t>
  </si>
  <si>
    <t>Engr. Arsalaan Khan</t>
  </si>
  <si>
    <t>Engr. Mansoor Khan</t>
  </si>
  <si>
    <t>Engr. Mudassir Iqbal</t>
  </si>
  <si>
    <t>Engr. Muhammad Salman</t>
  </si>
  <si>
    <t>Engr. Tayyaba Bibi</t>
  </si>
  <si>
    <t>CE-209L</t>
  </si>
  <si>
    <t>Mr. Javed Iqbal</t>
  </si>
  <si>
    <t/>
  </si>
  <si>
    <t>Surveying-II</t>
  </si>
  <si>
    <t>Subject Title</t>
  </si>
  <si>
    <t>Semester</t>
  </si>
  <si>
    <t>Fall</t>
  </si>
  <si>
    <t>Spring</t>
  </si>
  <si>
    <t>Summer</t>
  </si>
  <si>
    <t>Year</t>
  </si>
  <si>
    <t>1st</t>
  </si>
  <si>
    <t>2nd</t>
  </si>
  <si>
    <t>3rd</t>
  </si>
  <si>
    <t>4th</t>
  </si>
  <si>
    <t>5th</t>
  </si>
  <si>
    <t>6th</t>
  </si>
  <si>
    <t>7th</t>
  </si>
  <si>
    <t>8th</t>
  </si>
  <si>
    <t>Season</t>
  </si>
  <si>
    <t>Sections</t>
  </si>
  <si>
    <t>CLOs</t>
  </si>
  <si>
    <t>Assignment</t>
  </si>
  <si>
    <t>Quiz</t>
  </si>
  <si>
    <t>Midterm</t>
  </si>
  <si>
    <t>Final Term</t>
  </si>
  <si>
    <t>Presentation</t>
  </si>
  <si>
    <t>Report</t>
  </si>
  <si>
    <t>In-Lab Assesment</t>
  </si>
  <si>
    <t>Complex Engg. Prob.</t>
  </si>
  <si>
    <t>Open Ended Lab</t>
  </si>
  <si>
    <t>Viva</t>
  </si>
  <si>
    <t>Batch</t>
  </si>
  <si>
    <t>Registration Number</t>
  </si>
  <si>
    <t>Name</t>
  </si>
  <si>
    <t>gid</t>
  </si>
  <si>
    <t>Batch Civil-2015</t>
  </si>
  <si>
    <t>Batch Civil-2016</t>
  </si>
  <si>
    <t>Batch Civil-2017</t>
  </si>
  <si>
    <t>Batch Civil-2018</t>
  </si>
  <si>
    <t>Batch Civil-2019</t>
  </si>
  <si>
    <t>Batch Civil-2020</t>
  </si>
  <si>
    <t>Batch Civil-2021</t>
  </si>
  <si>
    <t>Batch Civil-2022</t>
  </si>
  <si>
    <t>Batch Civil-2023</t>
  </si>
  <si>
    <t>Batch Civil-2024</t>
  </si>
  <si>
    <t>Batch Civil-2025</t>
  </si>
  <si>
    <t>Batch Civil-2026</t>
  </si>
  <si>
    <t>Batch Civil-2027</t>
  </si>
  <si>
    <t>Batch Civil-2028</t>
  </si>
  <si>
    <t>Batch Civil-2029</t>
  </si>
  <si>
    <t>Assesment</t>
  </si>
  <si>
    <t xml:space="preserve">Number of </t>
  </si>
  <si>
    <t>Questions/Parts</t>
  </si>
  <si>
    <t>Labs</t>
  </si>
  <si>
    <t>-</t>
  </si>
  <si>
    <t>Rubrics</t>
  </si>
  <si>
    <t>Number</t>
  </si>
  <si>
    <t>Exam</t>
  </si>
  <si>
    <t>R</t>
  </si>
  <si>
    <t>Activity Type</t>
  </si>
  <si>
    <t>Activity Name</t>
  </si>
  <si>
    <t>Sub Activity Name</t>
  </si>
  <si>
    <t>Max Marks</t>
  </si>
  <si>
    <t>Weight</t>
  </si>
  <si>
    <t>Reg No</t>
  </si>
  <si>
    <t>CQI</t>
  </si>
  <si>
    <t>Date</t>
  </si>
  <si>
    <t>Corrective Measure</t>
  </si>
  <si>
    <t>Course</t>
  </si>
  <si>
    <t>Corrective Maesure</t>
  </si>
  <si>
    <t># of Registered Students</t>
  </si>
  <si>
    <t>PLO1</t>
  </si>
  <si>
    <t>PLO2</t>
  </si>
  <si>
    <t>PLO3</t>
  </si>
  <si>
    <t>PLO4</t>
  </si>
  <si>
    <t>PLO5</t>
  </si>
  <si>
    <t>PLO6</t>
  </si>
  <si>
    <t>PLO7</t>
  </si>
  <si>
    <t>PLO8</t>
  </si>
  <si>
    <t>PLO9</t>
  </si>
  <si>
    <t>PLO10</t>
  </si>
  <si>
    <t>PLO11</t>
  </si>
  <si>
    <t>PLO12</t>
  </si>
  <si>
    <t>Total Assessments</t>
  </si>
  <si>
    <t>% Weight for GPA/Grade</t>
  </si>
  <si>
    <t>B</t>
  </si>
  <si>
    <t>A</t>
  </si>
  <si>
    <t>CLO %weight</t>
  </si>
  <si>
    <t>A-</t>
  </si>
  <si>
    <t>B+</t>
  </si>
  <si>
    <t>B-</t>
  </si>
  <si>
    <t>C+</t>
  </si>
  <si>
    <t>C-</t>
  </si>
  <si>
    <t>D+</t>
  </si>
  <si>
    <t>D</t>
  </si>
  <si>
    <t>F</t>
  </si>
  <si>
    <t>%</t>
  </si>
  <si>
    <t>Batch Civil-2030</t>
  </si>
  <si>
    <t>Summer Civil-2019</t>
  </si>
  <si>
    <t>Summer Civil-2020</t>
  </si>
  <si>
    <t>BSI-141</t>
  </si>
  <si>
    <t>CE-112L Engineering Drawing for Civil Engineering. Lab</t>
  </si>
  <si>
    <t>Engineering Drawing for Civil Engineering. Lab</t>
  </si>
  <si>
    <t>BSI-101 Islamic Studies</t>
  </si>
  <si>
    <t>BSI-101</t>
  </si>
  <si>
    <t>Islamic Studies</t>
  </si>
  <si>
    <t>BSI-111 Linear Algebra</t>
  </si>
  <si>
    <t>BSI-111</t>
  </si>
  <si>
    <t>Linear Algebra</t>
  </si>
  <si>
    <t>BSI-110 Pakistan Studies</t>
  </si>
  <si>
    <t>BSI-110</t>
  </si>
  <si>
    <t>Pakistan Studies</t>
  </si>
  <si>
    <t>EE-106L Electrical Technology. Lab</t>
  </si>
  <si>
    <t>EE-106L</t>
  </si>
  <si>
    <t>Electrical Technology. Lab</t>
  </si>
  <si>
    <t>CE-121 Civil Engineering Materials</t>
  </si>
  <si>
    <t>CE-121</t>
  </si>
  <si>
    <t>Civil Engineering Materials</t>
  </si>
  <si>
    <t>ME-191 Mech. Tech. &amp; Heavy Construction Machinery</t>
  </si>
  <si>
    <t>ME-191</t>
  </si>
  <si>
    <t>Mech. Tech. &amp; Heavy Construction Machinery</t>
  </si>
  <si>
    <t>ME-191L Mech. Tech. &amp; Heavy Construction Machinery. Lab</t>
  </si>
  <si>
    <t>ME-191L</t>
  </si>
  <si>
    <t>Mech. Tech. &amp; Heavy Construction Machinery. Lab</t>
  </si>
  <si>
    <t>Mechanics of Solids-I</t>
  </si>
  <si>
    <t>Mechanics of Solids-I. Lab</t>
  </si>
  <si>
    <t>BSI-122 Calculus</t>
  </si>
  <si>
    <t>BSI-122</t>
  </si>
  <si>
    <t>Calculus</t>
  </si>
  <si>
    <t>CE-107L Computer Programming for Civil Engineering. Lab</t>
  </si>
  <si>
    <t>CE-107L</t>
  </si>
  <si>
    <t>Computer Programming for Civil Engineering. Lab</t>
  </si>
  <si>
    <t>CE-118L Building Information Modeling (BIM). Lab</t>
  </si>
  <si>
    <t>CE-118L</t>
  </si>
  <si>
    <t>Building Information Modeling (BIM). Lab</t>
  </si>
  <si>
    <t>CE-216 Concrete Technology</t>
  </si>
  <si>
    <t>CE-216</t>
  </si>
  <si>
    <t>Concrete Technology</t>
  </si>
  <si>
    <t>CE-216L Concrete Technology. Lab</t>
  </si>
  <si>
    <t>CE-216L</t>
  </si>
  <si>
    <t>Concrete Technology. Lab</t>
  </si>
  <si>
    <t>BSI-231</t>
  </si>
  <si>
    <t>CE-212L Fluid Mechanics-II. Lab</t>
  </si>
  <si>
    <t>Fluid Mechanics-II. Lab</t>
  </si>
  <si>
    <t>CE-209L Geo-Technical Engineering-I. Lab</t>
  </si>
  <si>
    <t>Geo-Technical Engineering-I. Lab</t>
  </si>
  <si>
    <t>BSI-351</t>
  </si>
  <si>
    <t>BSI-242 Numerical Analysis</t>
  </si>
  <si>
    <t>BSI-242</t>
  </si>
  <si>
    <t>Numerical Analysis</t>
  </si>
  <si>
    <t>BSI-242L</t>
  </si>
  <si>
    <t>Surveying-I</t>
  </si>
  <si>
    <t>Surveying-I. Lab</t>
  </si>
  <si>
    <t>CE-318 GIS/RS Application to CE (Geo-Info Engg.)</t>
  </si>
  <si>
    <t>CE-318</t>
  </si>
  <si>
    <t>GIS/RS Application to CE (Geo-Info Engg.)</t>
  </si>
  <si>
    <t>CE-313 Geo-Technical Engineering-II</t>
  </si>
  <si>
    <t>Geo-Technical Engineering-II</t>
  </si>
  <si>
    <t>CE-313L Geo-Technical Engineering-II. Lab</t>
  </si>
  <si>
    <t>Geo-Technical Engineering-II. Lab</t>
  </si>
  <si>
    <t>CE-303 Hydraulics</t>
  </si>
  <si>
    <t>CE-303</t>
  </si>
  <si>
    <t>Hydraulics</t>
  </si>
  <si>
    <t>Surveying-II. Lab</t>
  </si>
  <si>
    <t>Engineering Hydrology</t>
  </si>
  <si>
    <t>CE-421 Quantity Surveying &amp; Civil Engineering Practice</t>
  </si>
  <si>
    <t>Quantity Surveying &amp; Civil Engineering Practice</t>
  </si>
  <si>
    <t>Engr. Hanif Ullah</t>
  </si>
  <si>
    <t>engrhanifullah@uetpeshawar.edu.pk</t>
  </si>
  <si>
    <t>CE-408L Environmental Engineering-II. Lab</t>
  </si>
  <si>
    <t>CE-408L</t>
  </si>
  <si>
    <t>Environmental Engineering-II. Lab</t>
  </si>
  <si>
    <t>CE-414L Engineering Hydrology. Lab</t>
  </si>
  <si>
    <t>CE-414L</t>
  </si>
  <si>
    <t>Engineering Hydrology. Lab</t>
  </si>
  <si>
    <t>CE-407L Project Planning, Mangt &amp; Engg Economics. Lab</t>
  </si>
  <si>
    <t>Project Planning, Mangt &amp; Engg Economics. Lab</t>
  </si>
  <si>
    <t>CE-412 Intro. To Str. Dynamics &amp; Earthquake Engg</t>
  </si>
  <si>
    <t>CE-412</t>
  </si>
  <si>
    <t>Intro. To Str. Dynamics &amp; Earthquake Engg</t>
  </si>
  <si>
    <t>⇦ Must be 100%</t>
  </si>
  <si>
    <t>Check</t>
  </si>
  <si>
    <t>CLO Coverage</t>
  </si>
  <si>
    <t>in assessments</t>
  </si>
  <si>
    <t>CLOsPLOs</t>
  </si>
  <si>
    <t>ID</t>
  </si>
  <si>
    <t>Item</t>
  </si>
  <si>
    <t>Batches</t>
  </si>
  <si>
    <t>BatchList</t>
  </si>
  <si>
    <t>Courses and Faculty</t>
  </si>
  <si>
    <t>CE-214 Mechanics of Solids-I</t>
  </si>
  <si>
    <t>CE-214</t>
  </si>
  <si>
    <t>CE-214L Mechanics of Solids-I. Lab</t>
  </si>
  <si>
    <t>CE-214L</t>
  </si>
  <si>
    <t>CE-213</t>
  </si>
  <si>
    <t>CE-312 Engineering Geology &amp; Seismology</t>
  </si>
  <si>
    <t>CE-312</t>
  </si>
  <si>
    <t>CE-205 Surveying-I</t>
  </si>
  <si>
    <t>CE-205</t>
  </si>
  <si>
    <t>CE-205L Surveying-I. Lab</t>
  </si>
  <si>
    <t>CE-205L</t>
  </si>
  <si>
    <t>CE-207 Surveying-II</t>
  </si>
  <si>
    <t>CE-207</t>
  </si>
  <si>
    <t>CE-207L Surveying-II. Lab</t>
  </si>
  <si>
    <t>CE-207L</t>
  </si>
  <si>
    <t>CE-414</t>
  </si>
  <si>
    <t>CE-319 Foundation Engineering</t>
  </si>
  <si>
    <t>CE-319</t>
  </si>
  <si>
    <t>CE-401 Environmental Engineering-I</t>
  </si>
  <si>
    <t>CE-401</t>
  </si>
  <si>
    <t>CE-309L</t>
  </si>
  <si>
    <t>CE-419 Sustainable Dev. &amp; Disaster Risk Management</t>
  </si>
  <si>
    <t>CE-419</t>
  </si>
  <si>
    <t>Section</t>
  </si>
  <si>
    <t>E</t>
  </si>
  <si>
    <t>CLO4</t>
  </si>
  <si>
    <t>CLO5</t>
  </si>
  <si>
    <t>KPI</t>
  </si>
  <si>
    <t>Sec-A</t>
  </si>
  <si>
    <t>Sec-B</t>
  </si>
  <si>
    <t>Sec-C</t>
  </si>
  <si>
    <t>Sec-D</t>
  </si>
  <si>
    <t>Sec-E</t>
  </si>
  <si>
    <t>Building Construction and Drawing</t>
  </si>
  <si>
    <t>CE-213L</t>
  </si>
  <si>
    <t>Building Construction and Drawing. Lab</t>
  </si>
  <si>
    <t>Engr. Sida Hussain</t>
  </si>
  <si>
    <t>sidaiftihussain@gmail.com</t>
  </si>
  <si>
    <t>CE-401L Environmental Engineering-I. Lab</t>
  </si>
  <si>
    <t>CE-401L</t>
  </si>
  <si>
    <t>Environmental Engineering-I. Lab</t>
  </si>
  <si>
    <t>Mean</t>
  </si>
  <si>
    <t>Std Dev</t>
  </si>
  <si>
    <t>Total</t>
  </si>
  <si>
    <t>PLO</t>
  </si>
  <si>
    <t>Indiv. KPI</t>
  </si>
  <si>
    <t>Cohort KPI</t>
  </si>
  <si>
    <t>Column6</t>
  </si>
  <si>
    <t>Column7</t>
  </si>
  <si>
    <t>Column8</t>
  </si>
  <si>
    <t>Column9</t>
  </si>
  <si>
    <t>Column10</t>
  </si>
  <si>
    <t>Column11</t>
  </si>
  <si>
    <t>Column12</t>
  </si>
  <si>
    <t>Column13</t>
  </si>
  <si>
    <t>50</t>
  </si>
  <si>
    <t>60</t>
  </si>
  <si>
    <t>40</t>
  </si>
  <si>
    <t>W</t>
  </si>
  <si>
    <t>I</t>
  </si>
  <si>
    <t>GPA/GRADE</t>
  </si>
  <si>
    <t>Long Home Assignment</t>
  </si>
  <si>
    <t>Term Project</t>
  </si>
  <si>
    <t>Final Year Project</t>
  </si>
  <si>
    <t>Presentation/Report</t>
  </si>
  <si>
    <t>Presentation/Dessertation</t>
  </si>
  <si>
    <t>Presentation/Reports</t>
  </si>
  <si>
    <t>Teacher</t>
  </si>
  <si>
    <t>CE-213 Building Construction and Drawing (CAD)</t>
  </si>
  <si>
    <t>CE-213L Building Construction and Drawing (CAD). Lab</t>
  </si>
  <si>
    <t>CE-120 Building Costruction Engineering</t>
  </si>
  <si>
    <t>CE-120</t>
  </si>
  <si>
    <t>Building Construction Engineering</t>
  </si>
  <si>
    <t>CE-227L Building Information Modeling (BIM) Lab</t>
  </si>
  <si>
    <t>CE-227L</t>
  </si>
  <si>
    <t>Building Information Modeling (BIM) Lab</t>
  </si>
  <si>
    <t>Dr. Jamil Ahmad</t>
  </si>
  <si>
    <t>engrjamilahmad@gmail.com</t>
  </si>
  <si>
    <t>CE-106 Civil Engineering Materials and Concrete Technology</t>
  </si>
  <si>
    <t>CE-106</t>
  </si>
  <si>
    <t>Civil Engineering Materials and Concrete Technology</t>
  </si>
  <si>
    <t>CE-332L Civil Engineering Software Application Lab</t>
  </si>
  <si>
    <t>CE-332L</t>
  </si>
  <si>
    <t>Civil Engineering Software Application Lab</t>
  </si>
  <si>
    <t>BSI-141 Communication and Presentation Skills</t>
  </si>
  <si>
    <t>Communication and Presentation Skills</t>
  </si>
  <si>
    <t>CE-125 Concrete Technology</t>
  </si>
  <si>
    <t>CE-125</t>
  </si>
  <si>
    <t>CE-125L Concrete Technology Lab</t>
  </si>
  <si>
    <t>CE-125L</t>
  </si>
  <si>
    <t>Concrete Technology Lab</t>
  </si>
  <si>
    <t>Dr. Muhammad Rizwan</t>
  </si>
  <si>
    <t>CE-406 Construction Management and Engg. Economics</t>
  </si>
  <si>
    <t>CE-406</t>
  </si>
  <si>
    <t>Construction Management and Engg. Economics</t>
  </si>
  <si>
    <t>CE-406L Construction Management and Engg. Economics Lab</t>
  </si>
  <si>
    <t>CE-406L</t>
  </si>
  <si>
    <t>Construction Management and Engg. Economics Lab</t>
  </si>
  <si>
    <t>BSI-231 Differential Equations</t>
  </si>
  <si>
    <t>Differential Equations</t>
  </si>
  <si>
    <t>CE-112 Engineering Drawing for Civil Engineers</t>
  </si>
  <si>
    <t>Engineering Drawing for Civil Engineers</t>
  </si>
  <si>
    <t>CE-112L Engineering Drawing for Civil Engineers Lab</t>
  </si>
  <si>
    <t>Engineering Drawing for Civil Engineers Lab</t>
  </si>
  <si>
    <t>CE-217 Engineering Geology &amp; Seismology</t>
  </si>
  <si>
    <t>CE-217</t>
  </si>
  <si>
    <t>Engr. Asad Naeem</t>
  </si>
  <si>
    <t>asad.khansdz01@gmail.com</t>
  </si>
  <si>
    <t>Engr. Awais Ahmed</t>
  </si>
  <si>
    <t>awais_ahmed@uetpeshawar.edu.pk</t>
  </si>
  <si>
    <t>CE-431 Engineering Hydrology</t>
  </si>
  <si>
    <t>CE-431</t>
  </si>
  <si>
    <t>CE-116 Engineering Mechanics</t>
  </si>
  <si>
    <t>CE-116</t>
  </si>
  <si>
    <t>CE-117L Engineering Mechanics Lab</t>
  </si>
  <si>
    <t>CE-117L</t>
  </si>
  <si>
    <t>Engineering Mechanics Lab</t>
  </si>
  <si>
    <t>CE-116L Engineering Mechanics. Lab</t>
  </si>
  <si>
    <t>CE-116L</t>
  </si>
  <si>
    <t>Engineering Mechanics. Lab</t>
  </si>
  <si>
    <t>CE-324 Environmental Engineering - I</t>
  </si>
  <si>
    <t>CE-324</t>
  </si>
  <si>
    <t>Environmental Engineering - I</t>
  </si>
  <si>
    <t>CE-333 Environmental Engineering - II</t>
  </si>
  <si>
    <t>CE-333</t>
  </si>
  <si>
    <t>Environmental Engineering - II</t>
  </si>
  <si>
    <t>CE-333L Environmental Engineering - II Lab</t>
  </si>
  <si>
    <t>CE-333L</t>
  </si>
  <si>
    <t>Environmental Engineering - II Lab</t>
  </si>
  <si>
    <t>CE-206 Fluid Mechanics - I</t>
  </si>
  <si>
    <t>Fluid Mechanics - I</t>
  </si>
  <si>
    <t>CE-330 Fluid Mechanics - II</t>
  </si>
  <si>
    <t>CE-330</t>
  </si>
  <si>
    <t>Fluid Mechanics - II</t>
  </si>
  <si>
    <t>CE-330L Fluid Mechanics - II Lab</t>
  </si>
  <si>
    <t>CE-330L</t>
  </si>
  <si>
    <t>Fluid Mechanics - II Lab</t>
  </si>
  <si>
    <t>Engr. Shams Ul Khaliq</t>
  </si>
  <si>
    <t>shamsulkhaliq@uetpeshawar.edu.pk</t>
  </si>
  <si>
    <t>CE-430 Foundation Engineering</t>
  </si>
  <si>
    <t>CE-430</t>
  </si>
  <si>
    <t>BSI-133 Functional English</t>
  </si>
  <si>
    <t>BSI-133</t>
  </si>
  <si>
    <t>Functional English</t>
  </si>
  <si>
    <t>CE-331 Geotechnical Engineering - I</t>
  </si>
  <si>
    <t>CE-331</t>
  </si>
  <si>
    <t>Geotechnical Engineering - I</t>
  </si>
  <si>
    <t>CE-331L Geotechnical Engineering - I Lab</t>
  </si>
  <si>
    <t>CE-331L</t>
  </si>
  <si>
    <t>Geotechnical Engineering - I Lab</t>
  </si>
  <si>
    <t>CE-335 Geotechnical Engineering - II</t>
  </si>
  <si>
    <t>CE-335</t>
  </si>
  <si>
    <t>Geotechnical Engineering - II</t>
  </si>
  <si>
    <t>Engr. Zohaib Hassan</t>
  </si>
  <si>
    <t>engr.zhkhan19@gmail.com</t>
  </si>
  <si>
    <t>CE-335L Geotechnical Engineering - II Lab</t>
  </si>
  <si>
    <t>CE-335L</t>
  </si>
  <si>
    <t>Geotechnical Engineering - II Lab</t>
  </si>
  <si>
    <t>CE-318 GIS &amp; Remote Sensing</t>
  </si>
  <si>
    <t>GIS &amp; Remote Sensing</t>
  </si>
  <si>
    <t>CE-318L GIS &amp; Remote Sensing Lab</t>
  </si>
  <si>
    <t>CE-318L</t>
  </si>
  <si>
    <t>GIS &amp; Remote Sensing Lab</t>
  </si>
  <si>
    <t>CE-318L GIS/RS Application to CE (Geo-Info Engg.) Lab</t>
  </si>
  <si>
    <t>GIS/RS Application to CE (Geo-Info Engg.) Lab</t>
  </si>
  <si>
    <t>Dr. Noor Badshah</t>
  </si>
  <si>
    <t>Engr. Manzoor Elahi</t>
  </si>
  <si>
    <t>manzoortheta@gmail.com</t>
  </si>
  <si>
    <t>CE-432L Hydraulics and Hydology Lab</t>
  </si>
  <si>
    <t>CE-432L</t>
  </si>
  <si>
    <t>Hydraulics and Hydology Lab</t>
  </si>
  <si>
    <t>Engr. Tabinda Masud</t>
  </si>
  <si>
    <t>CE-414 Hydrology and water Management</t>
  </si>
  <si>
    <t>Hydrology and water Management</t>
  </si>
  <si>
    <t>Engr. Fazli Yazdan</t>
  </si>
  <si>
    <t>CE-210 Introduction to Architecture &amp; Urban Planning</t>
  </si>
  <si>
    <t>Introduction to Architecture &amp; Urban Planning</t>
  </si>
  <si>
    <t>CE-402 Irrigation Engineering</t>
  </si>
  <si>
    <t>Irrigation Engineering</t>
  </si>
  <si>
    <t>CE-225 Mechanics of Solids - I</t>
  </si>
  <si>
    <t>CE-225</t>
  </si>
  <si>
    <t>Mechanics of Solids - I</t>
  </si>
  <si>
    <t>CE-225L Mechanics of Solids - I Lab</t>
  </si>
  <si>
    <t>CE-225L</t>
  </si>
  <si>
    <t>Mechanics of Solids - I Lab</t>
  </si>
  <si>
    <t>CE-228 Mechanics of Solids - II</t>
  </si>
  <si>
    <t>CE-228</t>
  </si>
  <si>
    <t>Mechanics of Solids - II</t>
  </si>
  <si>
    <t>CE-119 Mechanics of Solids-I</t>
  </si>
  <si>
    <t>CE-119</t>
  </si>
  <si>
    <t>CE-119L Mechanics of Solids-I. Lab</t>
  </si>
  <si>
    <t>CE-119L</t>
  </si>
  <si>
    <t>BSI-242L Numerical Analysis Lab</t>
  </si>
  <si>
    <t>Numerical Analysis Lab</t>
  </si>
  <si>
    <t>BSI-351 Probability &amp; Statistics</t>
  </si>
  <si>
    <t>Probability &amp; Statistics</t>
  </si>
  <si>
    <t>BSI-120 Professional Ethics</t>
  </si>
  <si>
    <t>BSI-120</t>
  </si>
  <si>
    <t>Professional Ethics</t>
  </si>
  <si>
    <t>CE-320 Reinforced Concrete Design - I</t>
  </si>
  <si>
    <t>Reinforced Concrete Design - I</t>
  </si>
  <si>
    <t>CE-416 Reinforced Concrete Design - II</t>
  </si>
  <si>
    <t>Reinforced Concrete Design - II</t>
  </si>
  <si>
    <t>CE-215 Structural Analysis - I</t>
  </si>
  <si>
    <t>Structural Analysis - I</t>
  </si>
  <si>
    <t>CE-215L Structural Analysis - I Lab</t>
  </si>
  <si>
    <t>Structural Analysis - I Lab</t>
  </si>
  <si>
    <t>CE-301 Structural Analysis - II</t>
  </si>
  <si>
    <t>Structural Analysis - II</t>
  </si>
  <si>
    <t>CE-309L Structural Engineering Software Application. Lab</t>
  </si>
  <si>
    <t>Structural Engineering Software Application. Lab</t>
  </si>
  <si>
    <t>CE-226 Surveying - I</t>
  </si>
  <si>
    <t>CE-226</t>
  </si>
  <si>
    <t>Surveying - I</t>
  </si>
  <si>
    <t>CE-226L Surveying - I Lab</t>
  </si>
  <si>
    <t>CE-226L</t>
  </si>
  <si>
    <t>Surveying - I Lab</t>
  </si>
  <si>
    <t>CE-229 Surveying - II</t>
  </si>
  <si>
    <t>CE-229</t>
  </si>
  <si>
    <t>Surveying - II</t>
  </si>
  <si>
    <t>CE-229L Surveying - II Lab</t>
  </si>
  <si>
    <t>CE-229L</t>
  </si>
  <si>
    <t>Surveying - II Lab</t>
  </si>
  <si>
    <t>CE-322 Surveying-I</t>
  </si>
  <si>
    <t>CE-322</t>
  </si>
  <si>
    <t>CE-322 Surveying-I. Lab</t>
  </si>
  <si>
    <t>CE-322L</t>
  </si>
  <si>
    <t>CE-422 Sustainable Dev. &amp; Disaster Risk Management</t>
  </si>
  <si>
    <t>CE-422</t>
  </si>
  <si>
    <t>CE-310 Transportation Engineering - I</t>
  </si>
  <si>
    <t>Transportation Engineering - I</t>
  </si>
  <si>
    <t>CE-311 Transportation Engineering - II</t>
  </si>
  <si>
    <t>Transportation Engineering - II</t>
  </si>
  <si>
    <t>CE-311L Transportation Engineering - II Lab</t>
  </si>
  <si>
    <t>Transportation Engineering - II Lab</t>
  </si>
  <si>
    <t>CE-310L Transportation Engineering-I Lab</t>
  </si>
  <si>
    <t>CE-310L</t>
  </si>
  <si>
    <t>Transportation Engineering-I Lab</t>
  </si>
  <si>
    <t>OLD</t>
  </si>
  <si>
    <t>NEW</t>
  </si>
  <si>
    <t>Rereg</t>
  </si>
  <si>
    <t>CE-120L Building Construction Engineering. Lab</t>
  </si>
  <si>
    <t>CE-120L</t>
  </si>
  <si>
    <t>Building Construction Engineering. Lab</t>
  </si>
  <si>
    <t>Dr. Taj Ali Khan</t>
  </si>
  <si>
    <t>Perm-Absent</t>
  </si>
  <si>
    <t>Engr. Alamgir Khalil</t>
  </si>
  <si>
    <t>Abdirashid</t>
  </si>
  <si>
    <t>Learning Type/Level</t>
  </si>
  <si>
    <t>Reg#</t>
  </si>
  <si>
    <t>Remarks</t>
  </si>
  <si>
    <t>REPEAT COURSE</t>
  </si>
  <si>
    <t>Assignment CLO1</t>
  </si>
  <si>
    <t>Assignment CLO3</t>
  </si>
  <si>
    <t>Assignment CLO2</t>
  </si>
  <si>
    <t>Case#</t>
  </si>
  <si>
    <t>NUMBER OF CASES</t>
  </si>
  <si>
    <t>REPEAT</t>
  </si>
  <si>
    <t>Action Activity</t>
  </si>
  <si>
    <t>Activity(%marks)</t>
  </si>
  <si>
    <t>Assignment CLO4</t>
  </si>
  <si>
    <t>Assignment CLO5</t>
  </si>
  <si>
    <t>Total Affectees</t>
  </si>
  <si>
    <t>GradeEasy Remarks</t>
  </si>
  <si>
    <r>
      <rPr>
        <b/>
        <sz val="11"/>
        <color theme="1"/>
        <rFont val="Calibri"/>
        <family val="2"/>
        <scheme val="minor"/>
      </rPr>
      <t>NOTE:</t>
    </r>
    <r>
      <rPr>
        <sz val="11"/>
        <color theme="1"/>
        <rFont val="Calibri"/>
        <family val="2"/>
        <scheme val="minor"/>
      </rPr>
      <t xml:space="preserve"> For </t>
    </r>
    <r>
      <rPr>
        <u/>
        <sz val="11"/>
        <color theme="1"/>
        <rFont val="Calibri"/>
        <family val="2"/>
        <scheme val="minor"/>
      </rPr>
      <t>Permenently Absent Students</t>
    </r>
    <r>
      <rPr>
        <sz val="11"/>
        <color theme="1"/>
        <rFont val="Calibri"/>
        <family val="2"/>
        <scheme val="minor"/>
      </rPr>
      <t xml:space="preserve"> change "</t>
    </r>
    <r>
      <rPr>
        <b/>
        <sz val="11"/>
        <color theme="1"/>
        <rFont val="Calibri"/>
        <family val="2"/>
        <scheme val="minor"/>
      </rPr>
      <t>Sec</t>
    </r>
    <r>
      <rPr>
        <sz val="11"/>
        <color theme="1"/>
        <rFont val="Calibri"/>
        <family val="2"/>
        <scheme val="minor"/>
      </rPr>
      <t>tion" of student to "</t>
    </r>
    <r>
      <rPr>
        <b/>
        <sz val="11"/>
        <color theme="1"/>
        <rFont val="Calibri"/>
        <family val="2"/>
        <scheme val="minor"/>
      </rPr>
      <t>PA</t>
    </r>
    <r>
      <rPr>
        <sz val="11"/>
        <color theme="1"/>
        <rFont val="Calibri"/>
        <family val="2"/>
        <scheme val="minor"/>
      </rPr>
      <t>"</t>
    </r>
  </si>
  <si>
    <t>Faculty Course Review Report</t>
  </si>
  <si>
    <t>CETF - 7</t>
  </si>
  <si>
    <t xml:space="preserve">The purpose of this survey is to obtain feedback of faculty members about a course taught in a semester. Each teacher will submit the review individually for theory and lab.  We seek your help in completing this survey. Your feedback will be used only for improvement of the course contents, delivery and assessment methods etc. </t>
  </si>
  <si>
    <r>
      <t>7.</t>
    </r>
    <r>
      <rPr>
        <sz val="7"/>
        <color rgb="FF000000"/>
        <rFont val="Times New Roman"/>
        <family val="1"/>
      </rPr>
      <t xml:space="preserve">      </t>
    </r>
    <r>
      <rPr>
        <sz val="10.5"/>
        <color rgb="FF000000"/>
        <rFont val="Times New Roman"/>
        <family val="1"/>
      </rPr>
      <t xml:space="preserve"> Contact Hours</t>
    </r>
  </si>
  <si>
    <r>
      <t>8.</t>
    </r>
    <r>
      <rPr>
        <sz val="7"/>
        <color rgb="FF000000"/>
        <rFont val="Times New Roman"/>
        <family val="1"/>
      </rPr>
      <t xml:space="preserve">      </t>
    </r>
    <r>
      <rPr>
        <sz val="10.5"/>
        <color rgb="FF000000"/>
        <rFont val="Times New Roman"/>
        <family val="1"/>
      </rPr>
      <t>Assessment Methods for Theory (Give Precise Details)</t>
    </r>
  </si>
  <si>
    <r>
      <t>9.</t>
    </r>
    <r>
      <rPr>
        <sz val="7"/>
        <color rgb="FF000000"/>
        <rFont val="Times New Roman"/>
        <family val="1"/>
      </rPr>
      <t xml:space="preserve">      </t>
    </r>
    <r>
      <rPr>
        <sz val="10.5"/>
        <color rgb="FF000000"/>
        <rFont val="Times New Roman"/>
        <family val="1"/>
      </rPr>
      <t>Assessment Methods for Labs (Give Precise Details)</t>
    </r>
  </si>
  <si>
    <r>
      <t>10.</t>
    </r>
    <r>
      <rPr>
        <sz val="7"/>
        <color rgb="FF000000"/>
        <rFont val="Times New Roman"/>
        <family val="1"/>
      </rPr>
      <t xml:space="preserve">   </t>
    </r>
    <r>
      <rPr>
        <sz val="10.5"/>
        <color rgb="FF000000"/>
        <rFont val="Times New Roman"/>
        <family val="1"/>
      </rPr>
      <t xml:space="preserve">Number of CLOs  </t>
    </r>
  </si>
  <si>
    <t>Distribution of Grade/Marks and other Outcomes: (adopt the grading system as required)</t>
  </si>
  <si>
    <t>No. of Students Registered</t>
  </si>
  <si>
    <t xml:space="preserve">Average GPA </t>
  </si>
  <si>
    <t>No. of Pass Students</t>
  </si>
  <si>
    <t>No. of Fail Students</t>
  </si>
  <si>
    <t>No. of Withdrawals</t>
  </si>
  <si>
    <t>No. of Students Attained the CLOs (Give details of each section)</t>
  </si>
  <si>
    <t>No. of Students Attained the PLOs (Cohort level)</t>
  </si>
  <si>
    <t>Given in table below</t>
  </si>
  <si>
    <t>Given in Table Below</t>
  </si>
  <si>
    <t>BATCH</t>
  </si>
  <si>
    <t>Overview/Evaluation (Course Teacher)</t>
  </si>
  <si>
    <t>(These boxes will expand as you type in your answer.)</t>
  </si>
  <si>
    <r>
      <t>14.</t>
    </r>
    <r>
      <rPr>
        <sz val="7"/>
        <color rgb="FF000000"/>
        <rFont val="Times New Roman"/>
        <family val="1"/>
      </rPr>
      <t xml:space="preserve">   </t>
    </r>
    <r>
      <rPr>
        <b/>
        <sz val="10"/>
        <color rgb="FF000000"/>
        <rFont val="Times New Roman"/>
        <family val="1"/>
      </rPr>
      <t>Your corrective action on previous student’s feedback?</t>
    </r>
  </si>
  <si>
    <r>
      <t>15.</t>
    </r>
    <r>
      <rPr>
        <sz val="7"/>
        <color rgb="FF000000"/>
        <rFont val="Times New Roman"/>
        <family val="1"/>
      </rPr>
      <t xml:space="preserve">   </t>
    </r>
    <r>
      <rPr>
        <b/>
        <sz val="10"/>
        <color rgb="FF000000"/>
        <rFont val="Times New Roman"/>
        <family val="1"/>
      </rPr>
      <t>Your suggestions for improving the course contents (Lab)</t>
    </r>
  </si>
  <si>
    <r>
      <t>16.</t>
    </r>
    <r>
      <rPr>
        <sz val="7"/>
        <color rgb="FF000000"/>
        <rFont val="Times New Roman"/>
        <family val="1"/>
      </rPr>
      <t xml:space="preserve">   </t>
    </r>
    <r>
      <rPr>
        <b/>
        <sz val="10"/>
        <color rgb="FF000000"/>
        <rFont val="Times New Roman"/>
        <family val="1"/>
      </rPr>
      <t xml:space="preserve">Your suggestions for Course Learning Outcomes (CLOs) and Program Learning Outcomes (PLOs). Are they in line with course contents? </t>
    </r>
  </si>
  <si>
    <r>
      <t>17.</t>
    </r>
    <r>
      <rPr>
        <sz val="7"/>
        <color rgb="FF000000"/>
        <rFont val="Times New Roman"/>
        <family val="1"/>
      </rPr>
      <t xml:space="preserve">   </t>
    </r>
    <r>
      <rPr>
        <b/>
        <sz val="10"/>
        <color rgb="FF000000"/>
        <rFont val="Times New Roman"/>
        <family val="1"/>
      </rPr>
      <t xml:space="preserve">Your comment on the continuing appropriateness of the Course curriculum in relation to the intended Program learning outcomes (PLOs) and its compliance with the HEC/PEC Approved / Revised National Curriculum Guidelines. </t>
    </r>
  </si>
  <si>
    <r>
      <t>18.</t>
    </r>
    <r>
      <rPr>
        <sz val="7"/>
        <color rgb="FF000000"/>
        <rFont val="Times New Roman"/>
        <family val="1"/>
      </rPr>
      <t xml:space="preserve">   </t>
    </r>
    <r>
      <rPr>
        <b/>
        <sz val="10"/>
        <color rgb="FF000000"/>
        <rFont val="Times New Roman"/>
        <family val="1"/>
      </rPr>
      <t>Your comments on the continuing effectiveness of method(s) of assessment in relation to the intended Course Learning Outcomes (CLOs)</t>
    </r>
  </si>
  <si>
    <r>
      <t>19.</t>
    </r>
    <r>
      <rPr>
        <sz val="7"/>
        <color rgb="FF000000"/>
        <rFont val="Times New Roman"/>
        <family val="1"/>
      </rPr>
      <t xml:space="preserve">   </t>
    </r>
    <r>
      <rPr>
        <b/>
        <sz val="10"/>
        <color rgb="FF000000"/>
        <rFont val="Times New Roman"/>
        <family val="1"/>
      </rPr>
      <t>Your comment on the implementation of changes proposed in earlier Faculty Course Review Reports</t>
    </r>
  </si>
  <si>
    <r>
      <t>20.</t>
    </r>
    <r>
      <rPr>
        <sz val="7"/>
        <color rgb="FF000000"/>
        <rFont val="Times New Roman"/>
        <family val="1"/>
      </rPr>
      <t xml:space="preserve">   </t>
    </r>
    <r>
      <rPr>
        <b/>
        <sz val="10"/>
        <color rgb="FF000000"/>
        <rFont val="Times New Roman"/>
        <family val="1"/>
      </rPr>
      <t>Outline any changes in the future delivery or structure of the Course that this semester/terms may prompt</t>
    </r>
  </si>
  <si>
    <r>
      <t>21.</t>
    </r>
    <r>
      <rPr>
        <sz val="7"/>
        <color rgb="FF000000"/>
        <rFont val="Times New Roman"/>
        <family val="1"/>
      </rPr>
      <t xml:space="preserve">   </t>
    </r>
    <r>
      <rPr>
        <b/>
        <sz val="10"/>
        <color rgb="FF000000"/>
        <rFont val="Times New Roman"/>
        <family val="1"/>
      </rPr>
      <t xml:space="preserve">Your comments on the attainment of CLOs. </t>
    </r>
  </si>
  <si>
    <r>
      <t>22.</t>
    </r>
    <r>
      <rPr>
        <sz val="7"/>
        <color rgb="FF000000"/>
        <rFont val="Times New Roman"/>
        <family val="1"/>
      </rPr>
      <t xml:space="preserve">   </t>
    </r>
    <r>
      <rPr>
        <b/>
        <sz val="10"/>
        <color rgb="FF000000"/>
        <rFont val="Times New Roman"/>
        <family val="1"/>
      </rPr>
      <t xml:space="preserve">Your comments on the attainment of PLOs. </t>
    </r>
  </si>
  <si>
    <t>(Course Instructor)</t>
  </si>
  <si>
    <t>(Head of Department)</t>
  </si>
  <si>
    <t>Action Recommended by Chairman</t>
  </si>
  <si>
    <r>
      <t>1.</t>
    </r>
    <r>
      <rPr>
        <sz val="7"/>
        <color rgb="FF000000"/>
        <rFont val="Times New Roman"/>
        <family val="1"/>
      </rPr>
      <t xml:space="preserve">      </t>
    </r>
    <r>
      <rPr>
        <sz val="10.5"/>
        <color rgb="FF000000"/>
        <rFont val="Times New Roman"/>
        <family val="1"/>
      </rPr>
      <t xml:space="preserve">Course Code    </t>
    </r>
  </si>
  <si>
    <r>
      <t>2.</t>
    </r>
    <r>
      <rPr>
        <sz val="7"/>
        <color rgb="FF000000"/>
        <rFont val="Times New Roman"/>
        <family val="1"/>
      </rPr>
      <t xml:space="preserve">      </t>
    </r>
    <r>
      <rPr>
        <sz val="10.5"/>
        <color rgb="FF000000"/>
        <rFont val="Times New Roman"/>
        <family val="1"/>
      </rPr>
      <t xml:space="preserve">Course Name   </t>
    </r>
  </si>
  <si>
    <r>
      <t>3.</t>
    </r>
    <r>
      <rPr>
        <sz val="7"/>
        <color rgb="FF000000"/>
        <rFont val="Times New Roman"/>
        <family val="1"/>
      </rPr>
      <t xml:space="preserve">      </t>
    </r>
    <r>
      <rPr>
        <sz val="10.5"/>
        <color rgb="FF000000"/>
        <rFont val="Times New Roman"/>
        <family val="1"/>
      </rPr>
      <t>Semester</t>
    </r>
  </si>
  <si>
    <r>
      <t>5.</t>
    </r>
    <r>
      <rPr>
        <sz val="7"/>
        <color rgb="FF000000"/>
        <rFont val="Times New Roman"/>
        <family val="1"/>
      </rPr>
      <t xml:space="preserve">      </t>
    </r>
    <r>
      <rPr>
        <sz val="10.5"/>
        <color rgb="FF000000"/>
        <rFont val="Times New Roman"/>
        <family val="1"/>
      </rPr>
      <t xml:space="preserve">Credit Hours </t>
    </r>
  </si>
  <si>
    <r>
      <t>6.</t>
    </r>
    <r>
      <rPr>
        <sz val="7"/>
        <color rgb="FF000000"/>
        <rFont val="Times New Roman"/>
        <family val="1"/>
      </rPr>
      <t xml:space="preserve">      </t>
    </r>
    <r>
      <rPr>
        <sz val="10.5"/>
        <color rgb="FF000000"/>
        <rFont val="Times New Roman"/>
        <family val="1"/>
      </rPr>
      <t>No. of Student</t>
    </r>
  </si>
  <si>
    <r>
      <t>11.</t>
    </r>
    <r>
      <rPr>
        <sz val="7"/>
        <color rgb="FF000000"/>
        <rFont val="Times New Roman"/>
        <family val="1"/>
      </rPr>
      <t xml:space="preserve">   </t>
    </r>
    <r>
      <rPr>
        <sz val="10.5"/>
        <color rgb="FF000000"/>
        <rFont val="Times New Roman"/>
        <family val="1"/>
      </rPr>
      <t xml:space="preserve">Number of CLOs not Attained at Cohort level   </t>
    </r>
  </si>
  <si>
    <r>
      <t>12.</t>
    </r>
    <r>
      <rPr>
        <sz val="7"/>
        <color rgb="FF000000"/>
        <rFont val="Times New Roman"/>
        <family val="1"/>
      </rPr>
      <t xml:space="preserve">   </t>
    </r>
    <r>
      <rPr>
        <sz val="10.5"/>
        <color rgb="FF000000"/>
        <rFont val="Times New Roman"/>
        <family val="1"/>
      </rPr>
      <t xml:space="preserve">Number of PLOs in Course   </t>
    </r>
  </si>
  <si>
    <r>
      <t>13.</t>
    </r>
    <r>
      <rPr>
        <sz val="7"/>
        <color rgb="FF000000"/>
        <rFont val="Times New Roman"/>
        <family val="1"/>
      </rPr>
      <t xml:space="preserve">   </t>
    </r>
    <r>
      <rPr>
        <sz val="10.5"/>
        <color rgb="FF000000"/>
        <rFont val="Times New Roman"/>
        <family val="1"/>
      </rPr>
      <t xml:space="preserve">Number of PLOs not Attained at Cohort level  </t>
    </r>
  </si>
  <si>
    <t xml:space="preserve">Name: </t>
  </si>
  <si>
    <t>Date:</t>
  </si>
  <si>
    <t>Quiz CLO1</t>
  </si>
  <si>
    <t>Quiz CLO2</t>
  </si>
  <si>
    <t>Quiz CLO3</t>
  </si>
  <si>
    <t>Quiz CLO4</t>
  </si>
  <si>
    <t>Quiz CLO5</t>
  </si>
  <si>
    <t>Demonstration CLO1</t>
  </si>
  <si>
    <t>Demonstration CLO2</t>
  </si>
  <si>
    <t>Demonstration CLO3</t>
  </si>
  <si>
    <t>Demonstration CLO4</t>
  </si>
  <si>
    <t>Demonstration CLO5</t>
  </si>
  <si>
    <t>Report CLO1</t>
  </si>
  <si>
    <t>Report CLO2</t>
  </si>
  <si>
    <t>Report CLO3</t>
  </si>
  <si>
    <t>Report CLO4</t>
  </si>
  <si>
    <t>Report CLO5</t>
  </si>
  <si>
    <t>Viva CLO1</t>
  </si>
  <si>
    <t>Viva CLO2</t>
  </si>
  <si>
    <t>Viva CLO3</t>
  </si>
  <si>
    <t>Viva CLO4</t>
  </si>
  <si>
    <t>Viva CLO5</t>
  </si>
  <si>
    <t>collect</t>
  </si>
  <si>
    <t>attend</t>
  </si>
  <si>
    <t xml:space="preserve"> from me as soon as possible and submit by provided deadline.</t>
  </si>
  <si>
    <t xml:space="preserve"> activity from me as soon as possible and submit by provided deadline.</t>
  </si>
  <si>
    <t xml:space="preserve"> on provided date.</t>
  </si>
  <si>
    <r>
      <t xml:space="preserve">  </t>
    </r>
    <r>
      <rPr>
        <sz val="7"/>
        <color rgb="FF000000"/>
        <rFont val="Times New Roman"/>
        <family val="1"/>
      </rPr>
      <t xml:space="preserve">   </t>
    </r>
    <r>
      <rPr>
        <sz val="10.5"/>
        <color rgb="FF000000"/>
        <rFont val="Times New Roman"/>
        <family val="1"/>
      </rPr>
      <t xml:space="preserve">Theory Lectures </t>
    </r>
  </si>
  <si>
    <r>
      <t xml:space="preserve">  </t>
    </r>
    <r>
      <rPr>
        <sz val="7"/>
        <color rgb="FF000000"/>
        <rFont val="Times New Roman"/>
        <family val="1"/>
      </rPr>
      <t xml:space="preserve">   </t>
    </r>
    <r>
      <rPr>
        <sz val="10.5"/>
        <color rgb="FF000000"/>
        <rFont val="Times New Roman"/>
        <family val="1"/>
      </rPr>
      <t>Lab Contact Hours</t>
    </r>
  </si>
  <si>
    <r>
      <t xml:space="preserve">  </t>
    </r>
    <r>
      <rPr>
        <sz val="7"/>
        <color rgb="FF000000"/>
        <rFont val="Times New Roman"/>
        <family val="1"/>
      </rPr>
      <t xml:space="preserve">   </t>
    </r>
    <r>
      <rPr>
        <sz val="10.5"/>
        <color rgb="FF000000"/>
        <rFont val="Times New Roman"/>
        <family val="1"/>
      </rPr>
      <t>Seminars</t>
    </r>
  </si>
  <si>
    <r>
      <t xml:space="preserve">  </t>
    </r>
    <r>
      <rPr>
        <sz val="7"/>
        <color rgb="FF000000"/>
        <rFont val="Times New Roman"/>
        <family val="1"/>
      </rPr>
      <t xml:space="preserve">   </t>
    </r>
    <r>
      <rPr>
        <sz val="10.5"/>
        <color rgb="FF000000"/>
        <rFont val="Times New Roman"/>
        <family val="1"/>
      </rPr>
      <t xml:space="preserve">Others </t>
    </r>
  </si>
  <si>
    <r>
      <t>4.</t>
    </r>
    <r>
      <rPr>
        <sz val="7"/>
        <color rgb="FF000000"/>
        <rFont val="Times New Roman"/>
        <family val="1"/>
      </rPr>
      <t xml:space="preserve">      </t>
    </r>
    <r>
      <rPr>
        <sz val="10.5"/>
        <color rgb="FF000000"/>
        <rFont val="Times New Roman"/>
        <family val="1"/>
      </rPr>
      <t xml:space="preserve">Sections         </t>
    </r>
  </si>
  <si>
    <t>/week</t>
  </si>
  <si>
    <t>Instructor Name:</t>
  </si>
  <si>
    <t>Result11-06-201922-31-34</t>
  </si>
  <si>
    <t>Total Actions</t>
  </si>
  <si>
    <t>CAR_Max_Marks</t>
  </si>
  <si>
    <t>CAR_Marks Obtained</t>
  </si>
  <si>
    <t>CLOs not attained in Cohort</t>
  </si>
  <si>
    <t>PLOs not attained in Cohort</t>
  </si>
  <si>
    <t>DF (Division Factor)=</t>
  </si>
  <si>
    <t>Department</t>
  </si>
  <si>
    <t>% Contribution towards PLO</t>
  </si>
  <si>
    <t>Dr. Alamgir Khalil</t>
  </si>
  <si>
    <t>Dr. Ali Muhammad</t>
  </si>
  <si>
    <t>Dr. Amjad Ali</t>
  </si>
  <si>
    <t>Dr. Amjad Naseer</t>
  </si>
  <si>
    <t>Dr. Awais Ahmad</t>
  </si>
  <si>
    <t>Dr. Fayyaz Ahmad Khan</t>
  </si>
  <si>
    <t>Dr. Irshad Ahmad</t>
  </si>
  <si>
    <t>Dr. Marjan Uddin</t>
  </si>
  <si>
    <t>Dr. Muhammad Adil</t>
  </si>
  <si>
    <t>Dr. Muhammad Ashraf</t>
  </si>
  <si>
    <t>Dr. Muhammad Irshad</t>
  </si>
  <si>
    <t>Dr. Muhammad Javed</t>
  </si>
  <si>
    <t>Dr. Muhammad Tariq Khan</t>
  </si>
  <si>
    <t>Dr. Mushtaq Ahmad</t>
  </si>
  <si>
    <t>Dr. Naveed Ahmad</t>
  </si>
  <si>
    <t>Dr. Shahid Ullah</t>
  </si>
  <si>
    <t>Engr. Faisal Pervez</t>
  </si>
  <si>
    <t>Engr. Fayyaz Ur Rehman</t>
  </si>
  <si>
    <t>Engr. Haleema Attaullah</t>
  </si>
  <si>
    <t>Engr. Imad Said</t>
  </si>
  <si>
    <t>Engr. Izaz Ahmad</t>
  </si>
  <si>
    <t>Engr. Khalil Ur Rehman</t>
  </si>
  <si>
    <t>Engr. Muhammad Idris</t>
  </si>
  <si>
    <t>Engr. Muhammad Junaid Iqbal</t>
  </si>
  <si>
    <t>Engr. Muhammad Raheel</t>
  </si>
  <si>
    <t>Engr. Muhammad Rashid</t>
  </si>
  <si>
    <t>Engr. Sajjad Ali</t>
  </si>
  <si>
    <t>Engr. Shams Un Nihar</t>
  </si>
  <si>
    <t>Miss. Sadia Khattak</t>
  </si>
  <si>
    <t>Mr. Gul Shed</t>
  </si>
  <si>
    <t>Engr. Afshan Shareen</t>
  </si>
  <si>
    <t>Miss. Gulandam</t>
  </si>
  <si>
    <t>Dr. Siraj Ul Islam</t>
  </si>
  <si>
    <t>CE-409 Steel Structures</t>
  </si>
  <si>
    <t>Engr. Shafi Uddin</t>
  </si>
  <si>
    <t>% Contribution Towards PLO</t>
  </si>
  <si>
    <t>COUNSELING ACTION REPORT</t>
  </si>
  <si>
    <r>
      <rPr>
        <b/>
        <sz val="11"/>
        <color theme="1"/>
        <rFont val="Calibri"/>
        <family val="2"/>
        <scheme val="minor"/>
      </rPr>
      <t>Note:</t>
    </r>
    <r>
      <rPr>
        <sz val="11"/>
        <color theme="1"/>
        <rFont val="Calibri"/>
        <family val="2"/>
        <scheme val="minor"/>
      </rPr>
      <t xml:space="preserve"> Cohort results and GPA are not affected by CAR activities.</t>
    </r>
  </si>
  <si>
    <t>Average Top</t>
  </si>
  <si>
    <t>Number of Top students to average for Relative grading</t>
  </si>
  <si>
    <t>6</t>
  </si>
  <si>
    <t xml:space="preserve"> The formula in CV8 was =VALUE(CoursesFaculty!F6) to get the coordinator feed back on how many top student average be picked. Now it is top 10% of students</t>
  </si>
  <si>
    <t>PLOs=</t>
  </si>
  <si>
    <t>CLOs=</t>
  </si>
  <si>
    <t>Sadam Hussain</t>
  </si>
  <si>
    <t>Sec</t>
  </si>
  <si>
    <t>CLO 1</t>
  </si>
  <si>
    <t>CLO 2</t>
  </si>
  <si>
    <t>CLO 3</t>
  </si>
  <si>
    <t>CLO [Learning Type/Level]</t>
  </si>
  <si>
    <t>U,T,M</t>
  </si>
  <si>
    <t>ver26</t>
  </si>
  <si>
    <t>https://drive.google.com/uc?export=download&amp;id=</t>
  </si>
  <si>
    <t>17rYtqIuThTJXtaxIhleiR2zpNRwRPrWx</t>
  </si>
  <si>
    <t>curVer</t>
  </si>
  <si>
    <t>Preamble</t>
  </si>
  <si>
    <t>The GNU General Public License is a free, copyleft license for software and other kinds of works.</t>
  </si>
  <si>
    <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t>
  </si>
  <si>
    <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t>
  </si>
  <si>
    <t>To protect your rights, we need to prevent others from denying you these rights or asking you to surrender the rights. Therefore, you have certain responsibilities if you distribute copies of the software, or if you modify it: responsibilities to respect the freedom of others.</t>
  </si>
  <si>
    <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t>
  </si>
  <si>
    <t>Developers that use the GNU GPL protect your rights with two steps: (1) assert copyright on the software, and (2) offer you this License giving you legal permission to copy, distribute and/or modify it.</t>
  </si>
  <si>
    <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t>
  </si>
  <si>
    <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t>
  </si>
  <si>
    <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t>
  </si>
  <si>
    <t>The precise terms and conditions for copying, distribution and modification follow.</t>
  </si>
  <si>
    <t>TERMS AND CONDITIONS</t>
  </si>
  <si>
    <t>0. Definitions.</t>
  </si>
  <si>
    <t>“This License” refers to version 3 of the GNU General Public License.</t>
  </si>
  <si>
    <t>“Copyright” also means copyright-like laws that apply to other kinds of works, such as semiconductor masks.</t>
  </si>
  <si>
    <t>“The Program” refers to any copyrightable work licensed under this License. Each licensee is addressed as “you”. “Licensees” and “recipients” may be individuals or organizations.</t>
  </si>
  <si>
    <t>To “modify” a work means to copy from or adapt all or part of the work in a fashion requiring copyright permission, other than the making of an exact copy. The resulting work is called a “modified version” of the earlier work or a work “based on” the earlier work.</t>
  </si>
  <si>
    <t>A “covered work” means either the unmodified Program or a work based on the Program.</t>
  </si>
  <si>
    <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t>
  </si>
  <si>
    <t>To “convey” a work means any kind of propagation that enables other parties to make or receive copies. Mere interaction with a user through a computer network, with no transfer of a copy, is not conveying.</t>
  </si>
  <si>
    <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t>
  </si>
  <si>
    <t>1. Source Code.</t>
  </si>
  <si>
    <t>The “source code” for a work means the preferred form of the work for making modifications to it. “Object code” means any non-source form of a work.</t>
  </si>
  <si>
    <t>A “Standard Interface” means an interface that either is an official standard defined by a recognized standards body, or, in the case of interfaces specified for a particular programming language, one that is widely used among developers working in that language.</t>
  </si>
  <si>
    <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t>
  </si>
  <si>
    <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t>
  </si>
  <si>
    <t>The Corresponding Source need not include anything that users can regenerate automatically from other parts of the Corresponding Source.</t>
  </si>
  <si>
    <t>The Corresponding Source for a work in source code form is that same work.</t>
  </si>
  <si>
    <t>2. Basic Permissions.</t>
  </si>
  <si>
    <t>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t>
  </si>
  <si>
    <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t>
  </si>
  <si>
    <t>Conveying under any other circumstances is permitted solely under the conditions stated below. Sublicensing is not allowed; section 10 makes it unnecessary.</t>
  </si>
  <si>
    <t>3. Protecting Users' Legal Rights From Anti-Circumvention Law.</t>
  </si>
  <si>
    <t>No covered work shall be deemed part of an effective technological measure under any applicable law fulfilling obligations under article 11 of the WIPO copyright treaty adopted on 20 December 1996, or similar laws prohibiting or restricting circumvention of such measures.</t>
  </si>
  <si>
    <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t>
  </si>
  <si>
    <t>4. Conveying Verbatim Copies.</t>
  </si>
  <si>
    <t>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t>
  </si>
  <si>
    <t>You may charge any price or no price for each copy that you convey, and you may offer support or warranty protection for a fee.</t>
  </si>
  <si>
    <t>5. Conveying Modified Source Versions.</t>
  </si>
  <si>
    <t>You may convey a work based on the Program, or the modifications to produce it from the Program, in the form of source code under the terms of section 4, provided that you also meet all of these conditions:</t>
  </si>
  <si>
    <t>a) The work must carry prominent notices stating that you modified it, and giving a relevant date.</t>
  </si>
  <si>
    <t>b) The work must carry prominent notices stating that it is released under this License and any conditions added under section 7. This requirement modifies the requirement in section 4 to “keep intact all notices”.</t>
  </si>
  <si>
    <t>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t>
  </si>
  <si>
    <t>d) If the work has interactive user interfaces, each must display Appropriate Legal Notices; however, if the Program has interactive interfaces that do not display Appropriate Legal Notices, your work need not make them do so.</t>
  </si>
  <si>
    <t>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t>
  </si>
  <si>
    <t>6. Conveying Non-Source Forms.</t>
  </si>
  <si>
    <t>You may convey a covered work in object code form under the terms of sections 4 and 5, provided that you also convey the machine-readable Corresponding Source under the terms of this License, in one of these ways:</t>
  </si>
  <si>
    <t>a) Convey the object code in, or embodied in, a physical product (including a physical distribution medium), accompanied by the Corresponding Source fixed on a durable physical medium customarily used for software interchange.</t>
  </si>
  <si>
    <t>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t>
  </si>
  <si>
    <t>c) Convey individual copies of the object code with a copy of the written offer to provide the Corresponding Source. This alternative is allowed only occasionally and noncommercially, and only if you received the object code with such an offer, in accord with subsection 6b.</t>
  </si>
  <si>
    <t>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t>
  </si>
  <si>
    <t>e) Convey the object code using peer-to-peer transmission, provided you inform other peers where the object code and Corresponding Source of the work are being offered to the general public at no charge under subsection 6d.</t>
  </si>
  <si>
    <t>A separable portion of the object code, whose source code is excluded from the Corresponding Source as a System Library, need not be included in conveying the object code work.</t>
  </si>
  <si>
    <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t>
  </si>
  <si>
    <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t>
  </si>
  <si>
    <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t>
  </si>
  <si>
    <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t>
  </si>
  <si>
    <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t>
  </si>
  <si>
    <t>7. Additional Terms.</t>
  </si>
  <si>
    <t>“Additional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t>
  </si>
  <si>
    <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t>
  </si>
  <si>
    <t>Notwithstanding any other provision of this License, for material you add to a covered work, you may (if authorized by the copyright holders of that material) supplement the terms of this License with terms:</t>
  </si>
  <si>
    <t>a) Disclaiming warranty or limiting liability differently from the terms of sections 15 and 16 of this License; or</t>
  </si>
  <si>
    <t>b) Requiring preservation of specified reasonable legal notices or author attributions in that material or in the Appropriate Legal Notices displayed by works containing it; or</t>
  </si>
  <si>
    <t>c) Prohibiting misrepresentation of the origin of that material, or requiring that modified versions of such material be marked in reasonable ways as different from the original version; or</t>
  </si>
  <si>
    <t>d) Limiting the use for publicity purposes of names of licensors or authors of the material; or</t>
  </si>
  <si>
    <t>e) Declining to grant rights under trademark law for use of some trade names, trademarks, or service marks; or</t>
  </si>
  <si>
    <t>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t>
  </si>
  <si>
    <t>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t>
  </si>
  <si>
    <t>If you add terms to a covered work in accord with this section, you must place, in the relevant source files, a statement of the additional terms that apply to those files, or a notice indicating where to find the applicable terms.</t>
  </si>
  <si>
    <t>Additional terms, permissive or non-permissive, may be stated in the form of a separately written license, or stated as exceptions; the above requirements apply either way.</t>
  </si>
  <si>
    <t>8. Termination.</t>
  </si>
  <si>
    <t>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</si>
  <si>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</si>
  <si>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</si>
  <si>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t>
  </si>
  <si>
    <t>9. Acceptance Not Required for Having Copies.</t>
  </si>
  <si>
    <t>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t>
  </si>
  <si>
    <t>10. Automatic Licensing of Downstream Recipients.</t>
  </si>
  <si>
    <t>Each time you convey a covered work, the recipient automatically receives a license from the original licensors, to run, modify and propagate that work, subject to this License. You are not responsible for enforcing compliance by third parties with this License.</t>
  </si>
  <si>
    <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t>
  </si>
  <si>
    <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t>
  </si>
  <si>
    <t>11. Patents.</t>
  </si>
  <si>
    <t>A “contributor” is a copyright holder who authorizes use under this License of the Program or a work on which the Program is based. The work thus licensed is called the contributor's “contributor version”.</t>
  </si>
  <si>
    <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t>
  </si>
  <si>
    <t>Each contributor grants you a non-exclusive, worldwide, royalty-free patent license under the contributor's essential patent claims, to make, use, sell, offer for sale, import and otherwise run, modify and propagate the contents of its contributor version.</t>
  </si>
  <si>
    <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t>
  </si>
  <si>
    <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t>
  </si>
  <si>
    <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t>
  </si>
  <si>
    <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t>
  </si>
  <si>
    <t>Nothing in this License shall be construed as excluding or limiting any implied license or other defenses to infringement that may otherwise be available to you under applicable patent law.</t>
  </si>
  <si>
    <t>12. No Surrender of Others' Freedom.</t>
  </si>
  <si>
    <t>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t>
  </si>
  <si>
    <t>13. Use with the GNU Affero General Public License.</t>
  </si>
  <si>
    <t>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t>
  </si>
  <si>
    <t>14. Revised Versions of this License.</t>
  </si>
  <si>
    <t>The Free Software Foundation may publish revised and/or new versions of the GNU General Public License from time to time. Such new versions will be similar in spirit to the present version, but may differ in detail to address new problems or concerns.</t>
  </si>
  <si>
    <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t>
  </si>
  <si>
    <t>If the Program specifies that a proxy can decide which future versions of the GNU General Public License can be used, that proxy's public statement of acceptance of a version permanently authorizes you to choose that version for the Program.</t>
  </si>
  <si>
    <t>Later license versions may give you additional or different permissions. However, no additional obligations are imposed on any author or copyright holder as a result of your choosing to follow a later version.</t>
  </si>
  <si>
    <t>15. Disclaimer of Warranty.</t>
  </si>
  <si>
    <t>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t>
  </si>
  <si>
    <t>16. Limitation of Liability.</t>
  </si>
  <si>
    <t>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t>
  </si>
  <si>
    <t>17. Interpretation of Sections 15 and 16.</t>
  </si>
  <si>
    <t>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t>
  </si>
  <si>
    <t>END OF TERMS AND CONDITIONS</t>
  </si>
  <si>
    <t>How to Apply These Terms to Your New Programs</t>
  </si>
  <si>
    <t>If you develop a new program, and you want it to be of the greatest possible use to the public, the best way to achieve this is to make it free software which everyone can redistribute and change under these terms.</t>
  </si>
  <si>
    <t>To do so, attach the following notices to the program. It is safest to attach them to the start of each source file to most effectively state the exclusion of warranty; and each file should have at least 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</si>
  <si>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</si>
  <si>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</si>
  <si>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</si>
  <si>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</si>
  <si>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</si>
  <si>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</si>
  <si>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</si>
  <si>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</si>
  <si>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</si>
  <si>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</si>
  <si>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</si>
  <si>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&lt;https://www.gnu.org/licenses/&gt;.</t>
  </si>
  <si>
    <t>Also add information on how to contact you by electronic and paper mail.</t>
  </si>
  <si>
    <t>If the program does terminal interaction, make it output a short 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</si>
  <si>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</si>
  <si>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</si>
  <si>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</si>
  <si>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t xml:space="preserve">    under certain conditions; type `show c' for details.</t>
  </si>
  <si>
    <t>The hypothetical commands `show w' and `show c' should show the appropriate parts of the General Public License. Of course, your program's commands might be different; for a GUI interface, you would use an “about box”.</t>
  </si>
  <si>
    <t>You should also get your employer (if you work as a programmer) or school, if any, to sign a “copyright disclaimer” for the program, if necessary. For more information on this, and how to apply and follow the GNU GPL, see &lt;https://www.gnu.org/licenses/&gt;.</t>
  </si>
  <si>
    <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&lt;https://www.gnu.org/licenses/why-not-lgpl.html&gt;.</t>
  </si>
  <si>
    <t>Campus</t>
  </si>
  <si>
    <t>Peshawar</t>
  </si>
  <si>
    <t>File Name</t>
  </si>
  <si>
    <t>Batch Course Registration.xlsx</t>
  </si>
  <si>
    <t>CQI-Civil.xlsx</t>
  </si>
  <si>
    <t>CLO of All Courses.xlsx</t>
  </si>
  <si>
    <t>Course and Faculty.xlsx</t>
  </si>
  <si>
    <t>DONOT HIDE OR DELETE THIS SHEET</t>
  </si>
  <si>
    <t>Solve problems involving direct application of the concepts of Rigid Body Mechanics (such as Resolution of a force, Moment, Couple)</t>
  </si>
  <si>
    <t>PLO 1</t>
  </si>
  <si>
    <t>Determine Resultant force and Geometrical properties of Planar systems.</t>
  </si>
  <si>
    <t>PLO 2</t>
  </si>
  <si>
    <t>Analyze Statically determinate Planar force systems to calculate reactions, internal, force and displacements</t>
  </si>
  <si>
    <t>18PWCIV4980</t>
  </si>
  <si>
    <t>SALWA SHAHEEN</t>
  </si>
  <si>
    <t>18PWCIV4985</t>
  </si>
  <si>
    <t>MUHAMMAD ANAS</t>
  </si>
  <si>
    <t>18PWCIV4990</t>
  </si>
  <si>
    <t>HAZRAT BILAL</t>
  </si>
  <si>
    <t>18PWCIV5125</t>
  </si>
  <si>
    <t>WASIM KHAN</t>
  </si>
  <si>
    <t>18PWCIV4995</t>
  </si>
  <si>
    <t>HAMZA AHMAD QURESHI</t>
  </si>
  <si>
    <t>18PWCIV4999</t>
  </si>
  <si>
    <t>IJAZ AHMAD</t>
  </si>
  <si>
    <t>18PWCIV5004</t>
  </si>
  <si>
    <t>FAHAD ASIF</t>
  </si>
  <si>
    <t>18PWCIV5009</t>
  </si>
  <si>
    <t>WISAM SUBHAN</t>
  </si>
  <si>
    <t>18PWCIV5199</t>
  </si>
  <si>
    <t>JA'FAR ABDELMAJID SALEH ALTANBOUZ</t>
  </si>
  <si>
    <t>18PWCIV5018</t>
  </si>
  <si>
    <t>MUHAMMAD TAHIR KHAN</t>
  </si>
  <si>
    <t>18PWCIV5023</t>
  </si>
  <si>
    <t>AIMAL KHAN</t>
  </si>
  <si>
    <t>18PWCIV5028</t>
  </si>
  <si>
    <t>AIZAZ ULLAH</t>
  </si>
  <si>
    <t>18PWCIV5033</t>
  </si>
  <si>
    <t>ASADULLAH KHAN</t>
  </si>
  <si>
    <t>18PWCIV5036</t>
  </si>
  <si>
    <t>MUHAMMAD IDREES</t>
  </si>
  <si>
    <t>18PWCIV5041</t>
  </si>
  <si>
    <t>FAWAD IQBAL</t>
  </si>
  <si>
    <t>18PWCIV5049</t>
  </si>
  <si>
    <t>MUHAMMAD ISRAR</t>
  </si>
  <si>
    <t>18PWCIV5054</t>
  </si>
  <si>
    <t>ABDULLAH</t>
  </si>
  <si>
    <t>18PWCIV5059</t>
  </si>
  <si>
    <t>MUHAMMAD NADEEM KHAN</t>
  </si>
  <si>
    <t>18PWCIV5184</t>
  </si>
  <si>
    <t>MOHID IRFAN</t>
  </si>
  <si>
    <t>18PWCIV5193</t>
  </si>
  <si>
    <t>MARWAN AHMED HUSSAN GAAMOM</t>
  </si>
  <si>
    <t>18PWCIV5079</t>
  </si>
  <si>
    <t>MUHAMMAD ALI KHAN</t>
  </si>
  <si>
    <t>18PWCIV4986</t>
  </si>
  <si>
    <t>WARDA ZULHAJ</t>
  </si>
  <si>
    <t>18PWCIV5084</t>
  </si>
  <si>
    <t>SHER AFGHAN</t>
  </si>
  <si>
    <t>18PWCIV5089</t>
  </si>
  <si>
    <t>HASSAN KHAN</t>
  </si>
  <si>
    <t>18PWCIV5094</t>
  </si>
  <si>
    <t>AHMED ZEB</t>
  </si>
  <si>
    <t>18PWCIV5099</t>
  </si>
  <si>
    <t>ADNAN SAMI KHAN</t>
  </si>
  <si>
    <t>18PWCIV5104</t>
  </si>
  <si>
    <t>MUHAMMAD SAAD</t>
  </si>
  <si>
    <t>18PWCIV5109</t>
  </si>
  <si>
    <t>HAMZA KHAN</t>
  </si>
  <si>
    <t>18PWCIV5114</t>
  </si>
  <si>
    <t>MOHAMMAD ALI RAZA</t>
  </si>
  <si>
    <t>18PWCIV5119</t>
  </si>
  <si>
    <t>SYED MUHAMMAD HAROON</t>
  </si>
  <si>
    <t>18PWCIV5123</t>
  </si>
  <si>
    <t>HASEEB UR RAHMAN</t>
  </si>
  <si>
    <t>18PWCIV5128</t>
  </si>
  <si>
    <t>18PWCIV5133</t>
  </si>
  <si>
    <t>AQIB SIDDIQUE</t>
  </si>
  <si>
    <t>18PWCIV5138</t>
  </si>
  <si>
    <t>18PWCIV5143</t>
  </si>
  <si>
    <t>FAISAL TAHIR</t>
  </si>
  <si>
    <t>18PWCIV5150</t>
  </si>
  <si>
    <t>HIRA WAHAB</t>
  </si>
  <si>
    <t>18PWCIV5155</t>
  </si>
  <si>
    <t>FAIZAN ALI</t>
  </si>
  <si>
    <t>18PWCIV5160</t>
  </si>
  <si>
    <t>MURSALEEN KHAN</t>
  </si>
  <si>
    <t>18PWCIV4994</t>
  </si>
  <si>
    <t>SUMAYA MALIK</t>
  </si>
  <si>
    <t>18PWCIV5170</t>
  </si>
  <si>
    <t>MUHAMMAD KHUZAIFA KHAN</t>
  </si>
  <si>
    <t>18PWCIV5168</t>
  </si>
  <si>
    <t>UZAIR AMJAD</t>
  </si>
  <si>
    <t>18PWCIV5181</t>
  </si>
  <si>
    <t>FAHAD KHAWAJA</t>
  </si>
  <si>
    <t>18PWCIV5183</t>
  </si>
  <si>
    <t>SHANTUL JADOON</t>
  </si>
  <si>
    <t>18PWCIV5189</t>
  </si>
  <si>
    <t>MUHAMMAD EHTISHAM ARSHAD</t>
  </si>
  <si>
    <t>18PWCIV4981</t>
  </si>
  <si>
    <t>SYED FAYYAZ SHAH</t>
  </si>
  <si>
    <t>18PWCIV4991</t>
  </si>
  <si>
    <t>SYED HASEEB SHAH</t>
  </si>
  <si>
    <t>18PWCIV4996</t>
  </si>
  <si>
    <t>QAIM SHAH</t>
  </si>
  <si>
    <t>18PWCIV5000</t>
  </si>
  <si>
    <t>NIZAM AHMAD</t>
  </si>
  <si>
    <t>18PWCIV5005</t>
  </si>
  <si>
    <t>ZEESHAN IQBAL</t>
  </si>
  <si>
    <t>18PWCIV5010</t>
  </si>
  <si>
    <t>MUHAMMAD KASHIF KHAN</t>
  </si>
  <si>
    <t>18PWCIV5014</t>
  </si>
  <si>
    <t>MUHAMMAD SAQIB SHAH</t>
  </si>
  <si>
    <t>18PWCIV5019</t>
  </si>
  <si>
    <t>ANAS MISBAH</t>
  </si>
  <si>
    <t>18PWCIV5024</t>
  </si>
  <si>
    <t>HURAIR AHMAD KHAN</t>
  </si>
  <si>
    <t>18PWCIV5029</t>
  </si>
  <si>
    <t>18PWCIV5198</t>
  </si>
  <si>
    <t>QOSSAY A.J QUDAIH</t>
  </si>
  <si>
    <t>18PWCIV5037</t>
  </si>
  <si>
    <t>SYED HAMZA JAN</t>
  </si>
  <si>
    <t>18PWCIV5042</t>
  </si>
  <si>
    <t>TARIQ KHAN</t>
  </si>
  <si>
    <t>18PWCIV5046</t>
  </si>
  <si>
    <t>MEHRAN ALI KHAN</t>
  </si>
  <si>
    <t>18PWCIV5050</t>
  </si>
  <si>
    <t>SULAIMAN SHAH</t>
  </si>
  <si>
    <t>18PWCIV5055</t>
  </si>
  <si>
    <t>ABDUL MATEEN KHAN</t>
  </si>
  <si>
    <t>18PWCIV5060</t>
  </si>
  <si>
    <t>MUHAMMAD HARIS KHAN</t>
  </si>
  <si>
    <t>18PWCIV5070</t>
  </si>
  <si>
    <t>SARIM KHAN</t>
  </si>
  <si>
    <t>18PWCIV5075</t>
  </si>
  <si>
    <t>MUHAMMAD IBRAHIM KHAN</t>
  </si>
  <si>
    <t>18PWCIV5080</t>
  </si>
  <si>
    <t>FARIDULLAH KHAN</t>
  </si>
  <si>
    <t>18PWCIV5085</t>
  </si>
  <si>
    <t>HANIFULLAH</t>
  </si>
  <si>
    <t>18PWCIV5090</t>
  </si>
  <si>
    <t>WALEED ABDULLAH</t>
  </si>
  <si>
    <t>18PWCIV5095</t>
  </si>
  <si>
    <t>MUHAMMAD ZAHID KHAN</t>
  </si>
  <si>
    <t>18PWCIV5100</t>
  </si>
  <si>
    <t>SHAH ZEB</t>
  </si>
  <si>
    <t>18PWCIV5105</t>
  </si>
  <si>
    <t>MOHEEZ LATIF</t>
  </si>
  <si>
    <t>18PWCIV5110</t>
  </si>
  <si>
    <t>MUHAMMAD AMAD</t>
  </si>
  <si>
    <t>18PWCIV5115</t>
  </si>
  <si>
    <t>NADEEM KHAN</t>
  </si>
  <si>
    <t>18PWCIV5124</t>
  </si>
  <si>
    <t>MUHAMMAD ADIL KHAN</t>
  </si>
  <si>
    <t>18PWCIV5129</t>
  </si>
  <si>
    <t>SHAH KHALID</t>
  </si>
  <si>
    <t>18PWCIV5134</t>
  </si>
  <si>
    <t>GHAYYUR HASSAN</t>
  </si>
  <si>
    <t>18PWCIV5139</t>
  </si>
  <si>
    <t>SAAD ALAM</t>
  </si>
  <si>
    <t>18PWCIV5145</t>
  </si>
  <si>
    <t>SHERYAR KHAN</t>
  </si>
  <si>
    <t>18PWCIV5151</t>
  </si>
  <si>
    <t>SAAD MIRAJ UDDIN</t>
  </si>
  <si>
    <t>18PWCIV5201</t>
  </si>
  <si>
    <t>MUHAMMAD SANA ULLAH KAHN</t>
  </si>
  <si>
    <t>18PWCIV5161</t>
  </si>
  <si>
    <t>SHAH FAHAD AMIN</t>
  </si>
  <si>
    <t>18PWCIV5171</t>
  </si>
  <si>
    <t>HIZB ULLAH</t>
  </si>
  <si>
    <t>17PWCIV4973</t>
  </si>
  <si>
    <t>18PWCIV5177</t>
  </si>
  <si>
    <t>MUHAMMAD JUNAID</t>
  </si>
  <si>
    <t>18PWCIV5178</t>
  </si>
  <si>
    <t>SHAIZ ULLAH</t>
  </si>
  <si>
    <t>18PWCIV5175</t>
  </si>
  <si>
    <t>RAHMAT ULLAH</t>
  </si>
  <si>
    <t>18PWCIV5142</t>
  </si>
  <si>
    <t>ZARAK AHMAD KHAN</t>
  </si>
  <si>
    <t>18PWCIV5144</t>
  </si>
  <si>
    <t>AZAN HASSAN KHAN</t>
  </si>
  <si>
    <t>18PWCIV5190</t>
  </si>
  <si>
    <t>JAVED AHMED MIR</t>
  </si>
  <si>
    <t>18PWCIV5195</t>
  </si>
  <si>
    <t>SHERAZ ALI</t>
  </si>
  <si>
    <t>18PWCIV5165</t>
  </si>
  <si>
    <t>ZARA ASGHAR</t>
  </si>
  <si>
    <t>18PWCIV4982</t>
  </si>
  <si>
    <t>UZAIR KHAN</t>
  </si>
  <si>
    <t>18PWCIV4987</t>
  </si>
  <si>
    <t>SHAHREYAR KHALIL</t>
  </si>
  <si>
    <t>18PWCIV4992</t>
  </si>
  <si>
    <t>MUHAMMAD ANEES</t>
  </si>
  <si>
    <t>18PWCIV4997</t>
  </si>
  <si>
    <t>SHAH ZEB MUHAMMAD</t>
  </si>
  <si>
    <t>18PWCIV5001</t>
  </si>
  <si>
    <t>GHULAM QADIR</t>
  </si>
  <si>
    <t>18PWCIV5006</t>
  </si>
  <si>
    <t>M. LEHRASAP KHAN</t>
  </si>
  <si>
    <t>18PWCIV5011</t>
  </si>
  <si>
    <t>ARIF ULLAH</t>
  </si>
  <si>
    <t>18PWCIV5015</t>
  </si>
  <si>
    <t>UZAIR UR REHMAN</t>
  </si>
  <si>
    <t>18PWCIV5020</t>
  </si>
  <si>
    <t>INAYAT ULLAH</t>
  </si>
  <si>
    <t>18PWCIV5025</t>
  </si>
  <si>
    <t>NASEER WADOOD</t>
  </si>
  <si>
    <t>18PWCIV5030</t>
  </si>
  <si>
    <t>MUHAMMAD USMAN</t>
  </si>
  <si>
    <t>18PWCIV5034</t>
  </si>
  <si>
    <t>SAJJAD KHAN</t>
  </si>
  <si>
    <t>18PWCIV5038</t>
  </si>
  <si>
    <t>UMAIR KHAN</t>
  </si>
  <si>
    <t>18PWCIV5043</t>
  </si>
  <si>
    <t>MUHAMMAD USAMA</t>
  </si>
  <si>
    <t>18PWCIV5047</t>
  </si>
  <si>
    <t>SALMAN HAMAD</t>
  </si>
  <si>
    <t>18PWCIV5051</t>
  </si>
  <si>
    <t>ASFANDYAR</t>
  </si>
  <si>
    <t>18PWCIV5056</t>
  </si>
  <si>
    <t>IBRAR UL HAQ</t>
  </si>
  <si>
    <t>18PWCIV5061</t>
  </si>
  <si>
    <t>JANITA MAHNOOR SHAHID</t>
  </si>
  <si>
    <t>18PWCIV5071</t>
  </si>
  <si>
    <t>ARIF NAWAZ KHAN</t>
  </si>
  <si>
    <t>18PWCIV5076</t>
  </si>
  <si>
    <t>MUHAMMAD SHAHSAWAR ARBAB</t>
  </si>
  <si>
    <t>18PWCIV5081</t>
  </si>
  <si>
    <t>HAMID IBTEHAJ PIR</t>
  </si>
  <si>
    <t>18PWCIV5086</t>
  </si>
  <si>
    <t>HASSAM MAJID</t>
  </si>
  <si>
    <t>18PWCIV5091</t>
  </si>
  <si>
    <t>SHUJAAT ALI</t>
  </si>
  <si>
    <t>18PWCIV5096</t>
  </si>
  <si>
    <t>HANIF ALI</t>
  </si>
  <si>
    <t>18PWCIV5101</t>
  </si>
  <si>
    <t>18PWCIV5106</t>
  </si>
  <si>
    <t>MUHAMMAD RIAZ</t>
  </si>
  <si>
    <t>18PWCIV5111</t>
  </si>
  <si>
    <t>MUHAMMAD SOHAIL</t>
  </si>
  <si>
    <t>18PWCIV5116</t>
  </si>
  <si>
    <t>FAROOQ ALI</t>
  </si>
  <si>
    <t>18PWCIV5120</t>
  </si>
  <si>
    <t>SYED SADDAM ALI SHAH</t>
  </si>
  <si>
    <t>18PWCIV5130</t>
  </si>
  <si>
    <t>ABDULLAH RIAZ</t>
  </si>
  <si>
    <t>18PWCIV5135</t>
  </si>
  <si>
    <t>SYED FAHAD AHMED</t>
  </si>
  <si>
    <t>18PWCIV5200</t>
  </si>
  <si>
    <t>OBAIDA MUSTAFA YOUSAF ALBZOOR</t>
  </si>
  <si>
    <t>18PWCIV5146</t>
  </si>
  <si>
    <t>HUMAYUN MURTAZA MUGHAL</t>
  </si>
  <si>
    <t>18PWCIV5152</t>
  </si>
  <si>
    <t>WAQAR HAKIM</t>
  </si>
  <si>
    <t>18PWCIV5157</t>
  </si>
  <si>
    <t>SYED FAROOQ SHAH</t>
  </si>
  <si>
    <t>18PWCIV5162</t>
  </si>
  <si>
    <t>MANAHIL TAJRIYAN</t>
  </si>
  <si>
    <t>18PWCIV5167</t>
  </si>
  <si>
    <t>MASHAL SHAH JEHAN</t>
  </si>
  <si>
    <t>18PWCIV5172</t>
  </si>
  <si>
    <t>MUHAMMAD IMAD KHAN</t>
  </si>
  <si>
    <t>18PWCIV5166</t>
  </si>
  <si>
    <t>AMNA KHAN</t>
  </si>
  <si>
    <t>18PWCIV5196</t>
  </si>
  <si>
    <t>LAL ZAMAN</t>
  </si>
  <si>
    <t>18PWCIV5197</t>
  </si>
  <si>
    <t>MUHAMMAD TARIQ</t>
  </si>
  <si>
    <t>18PWCIV5185</t>
  </si>
  <si>
    <t>MUHAMMAD SARTAJ AZIZ</t>
  </si>
  <si>
    <t>18PWCIV5182</t>
  </si>
  <si>
    <t>MOMINA BIBI</t>
  </si>
  <si>
    <t>18PWCIV5194</t>
  </si>
  <si>
    <t>RAZA HUSSAIN BABAR</t>
  </si>
  <si>
    <t>18PWCIV4988</t>
  </si>
  <si>
    <t>MAJID KHAN</t>
  </si>
  <si>
    <t>18PWCIV4993</t>
  </si>
  <si>
    <t>MUHAMMAD SULIMAN</t>
  </si>
  <si>
    <t>18PWCIV4998</t>
  </si>
  <si>
    <t>MUHAMMAD KHAQAN</t>
  </si>
  <si>
    <t>18PWCIV5002</t>
  </si>
  <si>
    <t>MUHAMMAD ADIL</t>
  </si>
  <si>
    <t>18PWCIV5007</t>
  </si>
  <si>
    <t>DANISH SHAKEEL</t>
  </si>
  <si>
    <t>18PWCIV5012</t>
  </si>
  <si>
    <t>HAMZA WAHAB</t>
  </si>
  <si>
    <t>18PWCIV5016</t>
  </si>
  <si>
    <t>MUHAMMAD ASAD FAHIM</t>
  </si>
  <si>
    <t>18PWCIV5021</t>
  </si>
  <si>
    <t>ADNAN KHAN</t>
  </si>
  <si>
    <t>18PWCIV5026</t>
  </si>
  <si>
    <t>MUHAMMAD LUQMAN</t>
  </si>
  <si>
    <t>18PWCIV5031</t>
  </si>
  <si>
    <t>SABIR ULLAH</t>
  </si>
  <si>
    <t>18PWCIV5202</t>
  </si>
  <si>
    <t>HAMSE MOHAMED ABDILAHI</t>
  </si>
  <si>
    <t>18PWCIV5039</t>
  </si>
  <si>
    <t>FURQAN AHMAD</t>
  </si>
  <si>
    <t>18PWCIV5044</t>
  </si>
  <si>
    <t>SHAHZAIB</t>
  </si>
  <si>
    <t>18PWCIV5048</t>
  </si>
  <si>
    <t>MIR AMRULLAH JAN</t>
  </si>
  <si>
    <t>18PWCIV5052</t>
  </si>
  <si>
    <t>SALAHUDDIN</t>
  </si>
  <si>
    <t>18PWCIV5057</t>
  </si>
  <si>
    <t>ABDUR RAHIM KHAN</t>
  </si>
  <si>
    <t>18PWCIV5062</t>
  </si>
  <si>
    <t>MOHSIN KHALID</t>
  </si>
  <si>
    <t>18PWCIV5072</t>
  </si>
  <si>
    <t>KHAWAJA USAMA IFTIKHAR</t>
  </si>
  <si>
    <t>18PWCIV5077</t>
  </si>
  <si>
    <t>IQTEDAR SHAH</t>
  </si>
  <si>
    <t>18PWCIV5082</t>
  </si>
  <si>
    <t>KIRAMAT ALI</t>
  </si>
  <si>
    <t>18PWCIV5087</t>
  </si>
  <si>
    <t>MUHAMMAD WASIL</t>
  </si>
  <si>
    <t>18PWCIV5092</t>
  </si>
  <si>
    <t>MUHAMMAD YOUNAS</t>
  </si>
  <si>
    <t>18PWCIV5097</t>
  </si>
  <si>
    <t>MUHAMMAD ATTIQUE</t>
  </si>
  <si>
    <t>18PWCIV5102</t>
  </si>
  <si>
    <t>ASAD IQBAL</t>
  </si>
  <si>
    <t>18PWCIV5107</t>
  </si>
  <si>
    <t>ABDUR RAHIM</t>
  </si>
  <si>
    <t>18PWCIV5112</t>
  </si>
  <si>
    <t>MURAD ALI KHAN</t>
  </si>
  <si>
    <t>18PWCIV5118</t>
  </si>
  <si>
    <t>RIZWAN ULLAH KHAN</t>
  </si>
  <si>
    <t>18PWCIV5027</t>
  </si>
  <si>
    <t>ADIL KHAN</t>
  </si>
  <si>
    <t>18PWCIV5126</t>
  </si>
  <si>
    <t>MUHAMMAD SHAHAB</t>
  </si>
  <si>
    <t>18PWCIV5131</t>
  </si>
  <si>
    <t>ZEESHAN HAIDER</t>
  </si>
  <si>
    <t>18PWCIV5136</t>
  </si>
  <si>
    <t>SHAH FAHAD SHAMS</t>
  </si>
  <si>
    <t>18PWCIV5140</t>
  </si>
  <si>
    <t>HAMAD RAZA</t>
  </si>
  <si>
    <t>18PWCIV5147</t>
  </si>
  <si>
    <t>NAVEED REHAN</t>
  </si>
  <si>
    <t>18PWCIV5153</t>
  </si>
  <si>
    <t>MUHAMMAD ZEESHAN</t>
  </si>
  <si>
    <t>18PWCIV5158</t>
  </si>
  <si>
    <t>MARYAM DURRANI</t>
  </si>
  <si>
    <t>18PWCIV5163</t>
  </si>
  <si>
    <t>ZEESHAN ALI</t>
  </si>
  <si>
    <t>18PWCIV5156</t>
  </si>
  <si>
    <t>MUHAMMAD ALI</t>
  </si>
  <si>
    <t>18PWCIV5067</t>
  </si>
  <si>
    <t>MUHAMMAD ASEES KHAN</t>
  </si>
  <si>
    <t>18PWCIV5065</t>
  </si>
  <si>
    <t>ABDUL BASIT</t>
  </si>
  <si>
    <t>18PWCIV5179</t>
  </si>
  <si>
    <t>Muhammad Arif</t>
  </si>
  <si>
    <t>18PWCIV5068</t>
  </si>
  <si>
    <t>HARIS AMJAD</t>
  </si>
  <si>
    <t>18PWCIV5066</t>
  </si>
  <si>
    <t>HAMZA SAEED</t>
  </si>
  <si>
    <t>18PWCIV5069</t>
  </si>
  <si>
    <t>SAMAMA KHAN</t>
  </si>
  <si>
    <t>18PWCIV5186</t>
  </si>
  <si>
    <t>MUHAMMAD SHAKEEL</t>
  </si>
  <si>
    <t>18PWCIV5187</t>
  </si>
  <si>
    <t>ARFEEN TARIQ</t>
  </si>
  <si>
    <t>18PWCIV4984</t>
  </si>
  <si>
    <t>MUHAMMAD WAQAS KHAN</t>
  </si>
  <si>
    <t>18PWCIV4989</t>
  </si>
  <si>
    <t>MUHAMMAD FARAN</t>
  </si>
  <si>
    <t>18PWCIV5003</t>
  </si>
  <si>
    <t>IMTIAZ ALI</t>
  </si>
  <si>
    <t>18PWCIV5008</t>
  </si>
  <si>
    <t>MUHAMMAD SUDAIS KHAN</t>
  </si>
  <si>
    <t>18PWCIV5013</t>
  </si>
  <si>
    <t>SHAH FAHAD</t>
  </si>
  <si>
    <t>18PWCIV5017</t>
  </si>
  <si>
    <t>MUHAMMAD IBRAHEEM</t>
  </si>
  <si>
    <t>18PWCIV5022</t>
  </si>
  <si>
    <t>TAUSIF JUNAID KHAN</t>
  </si>
  <si>
    <t>18PWCIV5121</t>
  </si>
  <si>
    <t>18PWCIV5032</t>
  </si>
  <si>
    <t>EJAZ ALI</t>
  </si>
  <si>
    <t>18PWCIV5035</t>
  </si>
  <si>
    <t>18PWCIV5040</t>
  </si>
  <si>
    <t>ASHHAD ZAWAR KHAN</t>
  </si>
  <si>
    <t>18PWCIV5045</t>
  </si>
  <si>
    <t>AAMIR ZEB</t>
  </si>
  <si>
    <t>18PWCIV5053</t>
  </si>
  <si>
    <t>OWAIS ZAFAR</t>
  </si>
  <si>
    <t>18PWCIV5058</t>
  </si>
  <si>
    <t>ATIF ALI</t>
  </si>
  <si>
    <t>18PWCIV5063</t>
  </si>
  <si>
    <t>AHSAN SHAHID</t>
  </si>
  <si>
    <t>18PWCIV5073</t>
  </si>
  <si>
    <t>NIHAR ULLAH</t>
  </si>
  <si>
    <t>18PWCIV5078</t>
  </si>
  <si>
    <t>ANASS KHAN</t>
  </si>
  <si>
    <t>18PWCIV5083</t>
  </si>
  <si>
    <t>ZAHID ISLAM</t>
  </si>
  <si>
    <t>18PWCIV5088</t>
  </si>
  <si>
    <t>NIZAR AHMAD</t>
  </si>
  <si>
    <t>18PWCIV5093</t>
  </si>
  <si>
    <t>MUHAMMAD MURTAZA ALI</t>
  </si>
  <si>
    <t>18PWCIV5098</t>
  </si>
  <si>
    <t>HIZBULLAH</t>
  </si>
  <si>
    <t>18PWCIV5103</t>
  </si>
  <si>
    <t>INAM ULLAH</t>
  </si>
  <si>
    <t>18PWCIV5108</t>
  </si>
  <si>
    <t>ASIM WISAL KHAN</t>
  </si>
  <si>
    <t>18PWCIV5113</t>
  </si>
  <si>
    <t>ABDUL ALIM ABBAS</t>
  </si>
  <si>
    <t>18PWCIV5117</t>
  </si>
  <si>
    <t>MUHAMMAD RAFIQ</t>
  </si>
  <si>
    <t>18PWCIV5122</t>
  </si>
  <si>
    <t>SAYYAM BUKHARI</t>
  </si>
  <si>
    <t>18PWCIV5127</t>
  </si>
  <si>
    <t>KHALID MEHMOOD</t>
  </si>
  <si>
    <t>18PWCIV5132</t>
  </si>
  <si>
    <t>MUHAMMAD USMAN KHAN</t>
  </si>
  <si>
    <t>18PWCIV5137</t>
  </si>
  <si>
    <t>IJAZ AZEEM KHAN</t>
  </si>
  <si>
    <t>18PWCIV5141</t>
  </si>
  <si>
    <t>MUHAMMAD TAHA RAZA</t>
  </si>
  <si>
    <t>18PWCIV5148</t>
  </si>
  <si>
    <t>SYED MUHAMMAD ANEES HAIDER</t>
  </si>
  <si>
    <t>18PWCIV5154</t>
  </si>
  <si>
    <t>JUNAID ALI</t>
  </si>
  <si>
    <t>18PWCIV5159</t>
  </si>
  <si>
    <t>MUHAMMAD UMAR JALAL</t>
  </si>
  <si>
    <t>18PWCIV5164</t>
  </si>
  <si>
    <t>RAHMAT ALI</t>
  </si>
  <si>
    <t>18PWCIV5169</t>
  </si>
  <si>
    <t>IRFAN ULLAH</t>
  </si>
  <si>
    <t>18PWCIV5174</t>
  </si>
  <si>
    <t>AYESHA NOREEN</t>
  </si>
  <si>
    <t>18PWCIV4983</t>
  </si>
  <si>
    <t>AYESHA RAFI</t>
  </si>
  <si>
    <t>18PWCIV5173</t>
  </si>
  <si>
    <t>ZAINAB AKBAR</t>
  </si>
  <si>
    <t>18PWCIV5064</t>
  </si>
  <si>
    <t>AMIR KHAN</t>
  </si>
  <si>
    <t>18PWCIV5180</t>
  </si>
  <si>
    <t>ZAHOOR ULLAH KHAN</t>
  </si>
  <si>
    <t>18PWCIV5191</t>
  </si>
  <si>
    <t>ASAD MIR</t>
  </si>
  <si>
    <t>18PWCIV5192</t>
  </si>
  <si>
    <t>ISHTIYAQ AHMAD</t>
  </si>
  <si>
    <t>18PWCIV5188</t>
  </si>
  <si>
    <t>MUHAMMAD ZAID</t>
  </si>
  <si>
    <t>15PWCIV4480</t>
  </si>
  <si>
    <t>Qadir Muhammad</t>
  </si>
  <si>
    <t>16PWCIV4648</t>
  </si>
  <si>
    <t>Luqman Zamir</t>
  </si>
  <si>
    <t>Abdirashid Abdullahi Shire</t>
  </si>
  <si>
    <t>16PWCIV4697</t>
  </si>
  <si>
    <t>Sohail Khan</t>
  </si>
  <si>
    <t>14PWCIV4263</t>
  </si>
  <si>
    <t>Asif Ali Bajkani</t>
  </si>
  <si>
    <t>11PWCIV3676</t>
  </si>
  <si>
    <t>Ismail Abdi Hashi (F)</t>
  </si>
  <si>
    <t>15PWCIV4390</t>
  </si>
  <si>
    <t>{google spreadsheet key_id}</t>
  </si>
  <si>
    <t>Civil</t>
  </si>
  <si>
    <t>Developed by Dr. Mohammad Adil, Department of Civil Engineering UET Pesahwar.
Distributed with permission of Prof. Dr. Qaisar Ali, Chairman, Department of
                                                                 Civil Engineering UET, Peshawar, Pakistan.
 Version 28 Last updated 27/March/2022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</si>
</sst>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0" x14ac:knownFonts="1">
    <font>
      <sz val="11"/>
      <color theme="1"/>
      <name val="Calibri"/>
      <family val="2"/>
      <scheme val="minor"/>
    </font>
    <font>
      <sz val="9"/>
      <color theme="1"/>
      <name val="Calibri"/>
      <family val="2"/>
      <scheme val="minor"/>
    </font>
    <font>
      <b/>
      <sz val="14"/>
      <color theme="1"/>
      <name val="Arial Narrow"/>
      <family val="2"/>
    </font>
    <font>
      <sz val="11"/>
      <color theme="1"/>
      <name val="Arial Narrow"/>
      <family val="2"/>
    </font>
    <font>
      <b/>
      <sz val="11"/>
      <color theme="1"/>
      <name val="Arial Narrow"/>
      <family val="2"/>
    </font>
    <font>
      <i/>
      <sz val="11"/>
      <color theme="1"/>
      <name val="Arial Narrow"/>
      <family val="2"/>
    </font>
    <font>
      <sz val="10"/>
      <color theme="1"/>
      <name val="Arial Narrow"/>
      <family val="2"/>
    </font>
    <font>
      <b/>
      <sz val="11"/>
      <color theme="1"/>
      <name val="Calibri"/>
      <family val="2"/>
      <scheme val="minor"/>
    </font>
    <font>
      <sz val="11"/>
      <color rgb="FF993300"/>
      <name val="Arial Narrow"/>
      <family val="2"/>
    </font>
    <font>
      <b/>
      <sz val="11"/>
      <color rgb="FF993300"/>
      <name val="Arial Narrow"/>
      <family val="2"/>
    </font>
    <font>
      <b/>
      <i/>
      <sz val="11"/>
      <color theme="1"/>
      <name val="Calibri"/>
      <family val="2"/>
      <scheme val="minor"/>
    </font>
    <font>
      <b/>
      <sz val="10"/>
      <color theme="1"/>
      <name val="Calibri"/>
      <family val="2"/>
      <scheme val="minor"/>
    </font>
    <font>
      <sz val="11"/>
      <color rgb="FF993300"/>
      <name val="Arial"/>
      <family val="2"/>
    </font>
    <font>
      <i/>
      <sz val="10"/>
      <color theme="1"/>
      <name val="Calibri"/>
      <family val="2"/>
      <scheme val="minor"/>
    </font>
    <font>
      <i/>
      <sz val="10"/>
      <color theme="1"/>
      <name val="Arial Narrow"/>
      <family val="2"/>
    </font>
    <font>
      <sz val="11"/>
      <color theme="1"/>
      <name val="Arial"/>
      <family val="2"/>
    </font>
    <font>
      <b/>
      <sz val="11"/>
      <color theme="1"/>
      <name val="Arial"/>
      <family val="2"/>
    </font>
    <font>
      <sz val="9"/>
      <color theme="1"/>
      <name val="Arial"/>
      <family val="2"/>
    </font>
    <font>
      <b/>
      <sz val="18"/>
      <color theme="1"/>
      <name val="Arial"/>
      <family val="2"/>
    </font>
    <font>
      <i/>
      <sz val="12"/>
      <color theme="1"/>
      <name val="Arial"/>
      <family val="2"/>
    </font>
    <font>
      <b/>
      <sz val="10"/>
      <color theme="1"/>
      <name val="Arial"/>
      <family val="2"/>
    </font>
    <font>
      <i/>
      <sz val="14"/>
      <color theme="1"/>
      <name val="Arial"/>
      <family val="2"/>
    </font>
    <font>
      <sz val="11"/>
      <color rgb="FF000000"/>
      <name val="Calibri"/>
      <family val="2"/>
    </font>
    <font>
      <u/>
      <sz val="11"/>
      <color theme="1"/>
      <name val="Calibri"/>
      <family val="2"/>
      <scheme val="minor"/>
    </font>
    <font>
      <sz val="12"/>
      <color theme="1"/>
      <name val="Times New Roman"/>
      <family val="1"/>
    </font>
    <font>
      <sz val="11"/>
      <color rgb="FF000000"/>
      <name val="Times New Roman"/>
      <family val="1"/>
    </font>
    <font>
      <sz val="10.5"/>
      <color rgb="FF000000"/>
      <name val="Times New Roman"/>
      <family val="1"/>
    </font>
    <font>
      <sz val="7"/>
      <color rgb="FF000000"/>
      <name val="Times New Roman"/>
      <family val="1"/>
    </font>
    <font>
      <sz val="10.5"/>
      <color rgb="FF000000"/>
      <name val="Courier New"/>
      <family val="3"/>
    </font>
    <font>
      <b/>
      <sz val="10"/>
      <color rgb="FF000000"/>
      <name val="Times New Roman"/>
      <family val="1"/>
    </font>
    <font>
      <sz val="10"/>
      <color rgb="FF000000"/>
      <name val="Times New Roman"/>
      <family val="1"/>
    </font>
    <font>
      <b/>
      <sz val="11"/>
      <color rgb="FF000000"/>
      <name val="Calibri"/>
      <family val="2"/>
    </font>
    <font>
      <sz val="10"/>
      <color rgb="FF000000"/>
      <name val="Wingdings"/>
      <charset val="2"/>
    </font>
    <font>
      <i/>
      <sz val="10"/>
      <color rgb="FF000000"/>
      <name val="Times New Roman"/>
      <family val="1"/>
    </font>
    <font>
      <b/>
      <sz val="18"/>
      <color rgb="FF000000"/>
      <name val="Courier New"/>
      <family val="3"/>
    </font>
    <font>
      <b/>
      <u/>
      <sz val="11"/>
      <color theme="1"/>
      <name val="Times New Roman"/>
      <family val="1"/>
    </font>
    <font>
      <sz val="11"/>
      <color theme="1"/>
      <name val="Times New Roman"/>
      <family val="1"/>
    </font>
    <font>
      <b/>
      <i/>
      <u/>
      <sz val="11"/>
      <color theme="1"/>
      <name val="Times New Roman"/>
      <family val="1"/>
    </font>
    <font>
      <i/>
      <sz val="9"/>
      <color theme="1"/>
      <name val="Arial"/>
      <family val="2"/>
    </font>
    <font>
      <b/>
      <sz val="12"/>
      <color rgb="FF993300"/>
      <name val="Arial Narrow"/>
      <family val="2"/>
    </font>
    <font>
      <sz val="9"/>
      <color indexed="81"/>
      <name val="Tahoma"/>
      <family val="2"/>
    </font>
    <font>
      <b/>
      <sz val="9"/>
      <color indexed="81"/>
      <name val="Tahoma"/>
      <family val="2"/>
    </font>
    <font>
      <u/>
      <sz val="9"/>
      <color indexed="81"/>
      <name val="Tahoma"/>
      <family val="2"/>
    </font>
    <font>
      <b/>
      <sz val="16.5"/>
      <color rgb="FF333333"/>
      <name val="Times New Roman"/>
      <family val="1"/>
    </font>
    <font>
      <sz val="12"/>
      <color rgb="FF222222"/>
      <name val="Times New Roman"/>
      <family val="1"/>
    </font>
    <font>
      <b/>
      <sz val="13.75"/>
      <color rgb="FF333333"/>
      <name val="Times New Roman"/>
      <family val="1"/>
    </font>
    <font>
      <sz val="10"/>
      <color rgb="FF222222"/>
      <name val="Arial Unicode MS"/>
      <family val="2"/>
    </font>
    <font>
      <u/>
      <sz val="11"/>
      <color theme="10"/>
      <name val="Calibri"/>
      <family val="2"/>
      <scheme val="minor"/>
    </font>
    <font>
      <i/>
      <sz val="11"/>
      <color theme="1"/>
      <name val="Calibri"/>
      <family val="2"/>
      <scheme val="minor"/>
    </font>
    <font>
      <b/>
      <i/>
      <sz val="11"/>
      <color rgb="FFFF0000"/>
      <name val="Calibri"/>
      <family val="2"/>
      <scheme val="minor"/>
    </font>
  </fonts>
  <fills count="10">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5117038483843"/>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s>
  <borders count="26">
    <border>
      <left/>
      <right/>
      <top/>
      <bottom/>
      <diagonal/>
    </border>
    <border>
      <left style="thin">
        <color theme="9" tint="0.39997558519241921"/>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top style="thin">
        <color indexed="64"/>
      </top>
      <bottom/>
      <diagonal/>
    </border>
    <border>
      <left/>
      <right/>
      <top/>
      <bottom style="thin">
        <color indexed="64"/>
      </bottom>
      <diagonal/>
    </border>
  </borders>
  <cellStyleXfs count="2">
    <xf numFmtId="0" fontId="0" fillId="0" borderId="0"/>
    <xf numFmtId="0" fontId="47" fillId="0" borderId="0" applyNumberFormat="0" applyFill="0" applyBorder="0" applyAlignment="0" applyProtection="0"/>
  </cellStyleXfs>
  <cellXfs count="165">
    <xf numFmtId="0" fontId="0" fillId="0" borderId="0" xfId="0"/>
    <xf numFmtId="0" fontId="0" fillId="0" borderId="0" xfId="0" applyNumberFormat="1"/>
    <xf numFmtId="0" fontId="0" fillId="2" borderId="1" xfId="0" applyNumberFormat="1" applyFont="1" applyFill="1" applyBorder="1"/>
    <xf numFmtId="0" fontId="4" fillId="0" borderId="0" xfId="0" applyFont="1"/>
    <xf numFmtId="0" fontId="5" fillId="2" borderId="2" xfId="0" applyNumberFormat="1" applyFont="1" applyFill="1" applyBorder="1"/>
    <xf numFmtId="0" fontId="3" fillId="3" borderId="2" xfId="0" applyFont="1" applyFill="1" applyBorder="1"/>
    <xf numFmtId="0" fontId="4" fillId="0" borderId="0" xfId="0" applyFont="1" applyAlignment="1">
      <alignment horizontal="right"/>
    </xf>
    <xf numFmtId="0" fontId="4" fillId="0" borderId="0" xfId="0" applyFont="1" applyAlignment="1">
      <alignment horizontal="center"/>
    </xf>
    <xf numFmtId="14" fontId="0" fillId="0" borderId="0" xfId="0" applyNumberFormat="1"/>
    <xf numFmtId="14" fontId="3" fillId="0" borderId="2" xfId="0" applyNumberFormat="1" applyFont="1" applyBorder="1"/>
    <xf numFmtId="0" fontId="5" fillId="0" borderId="2" xfId="0" applyFont="1" applyBorder="1"/>
    <xf numFmtId="0" fontId="4" fillId="0" borderId="2" xfId="0" applyFont="1" applyBorder="1"/>
    <xf numFmtId="0" fontId="3" fillId="3" borderId="2" xfId="0" applyFont="1" applyFill="1" applyBorder="1" applyAlignment="1">
      <alignment horizontal="center"/>
    </xf>
    <xf numFmtId="0" fontId="4" fillId="0" borderId="3" xfId="0" applyFont="1" applyBorder="1" applyAlignment="1">
      <alignment horizontal="center"/>
    </xf>
    <xf numFmtId="0" fontId="0" fillId="4" borderId="0" xfId="0" applyFill="1"/>
    <xf numFmtId="0" fontId="4" fillId="4" borderId="0" xfId="0" applyFont="1" applyFill="1"/>
    <xf numFmtId="0" fontId="3" fillId="4" borderId="0" xfId="0" applyFont="1" applyFill="1"/>
    <xf numFmtId="0" fontId="4" fillId="4" borderId="0" xfId="0" applyFont="1" applyFill="1" applyAlignment="1">
      <alignment horizontal="right"/>
    </xf>
    <xf numFmtId="0" fontId="3" fillId="4" borderId="0" xfId="0" applyFont="1" applyFill="1" applyAlignment="1">
      <alignment horizontal="left"/>
    </xf>
    <xf numFmtId="0" fontId="7" fillId="4" borderId="0" xfId="0" applyFont="1" applyFill="1" applyAlignment="1">
      <alignment horizontal="right"/>
    </xf>
    <xf numFmtId="0" fontId="1" fillId="4" borderId="0" xfId="0" applyFont="1" applyFill="1" applyAlignment="1">
      <alignment wrapText="1"/>
    </xf>
    <xf numFmtId="0" fontId="3" fillId="4" borderId="0" xfId="0" applyFont="1" applyFill="1" applyAlignment="1">
      <alignment horizontal="center"/>
    </xf>
    <xf numFmtId="0" fontId="5" fillId="2" borderId="3" xfId="0" applyNumberFormat="1" applyFont="1" applyFill="1" applyBorder="1"/>
    <xf numFmtId="0" fontId="5" fillId="5" borderId="4" xfId="0" applyFont="1" applyFill="1" applyBorder="1"/>
    <xf numFmtId="0" fontId="5" fillId="5" borderId="5" xfId="0" applyFont="1" applyFill="1" applyBorder="1"/>
    <xf numFmtId="0" fontId="3" fillId="0" borderId="2" xfId="0" applyNumberFormat="1" applyFont="1" applyBorder="1" applyAlignment="1">
      <alignment horizontal="center"/>
    </xf>
    <xf numFmtId="0" fontId="10" fillId="0" borderId="0" xfId="0" applyFont="1"/>
    <xf numFmtId="0" fontId="0" fillId="6" borderId="6" xfId="0" applyFill="1" applyBorder="1"/>
    <xf numFmtId="2" fontId="0" fillId="0" borderId="0" xfId="0" applyNumberFormat="1"/>
    <xf numFmtId="0" fontId="4" fillId="0" borderId="5" xfId="0" applyFont="1" applyBorder="1" applyAlignment="1">
      <alignment horizontal="center"/>
    </xf>
    <xf numFmtId="0" fontId="4" fillId="0" borderId="14" xfId="0" applyFont="1" applyBorder="1" applyAlignment="1">
      <alignment horizontal="center"/>
    </xf>
    <xf numFmtId="0" fontId="4" fillId="7" borderId="8" xfId="0" applyFont="1" applyFill="1" applyBorder="1" applyAlignment="1">
      <alignment horizontal="right" wrapText="1"/>
    </xf>
    <xf numFmtId="0" fontId="3" fillId="7" borderId="9" xfId="0" applyFont="1" applyFill="1" applyBorder="1" applyAlignment="1">
      <alignment horizontal="center"/>
    </xf>
    <xf numFmtId="0" fontId="4" fillId="7" borderId="11" xfId="0" applyFont="1" applyFill="1" applyBorder="1" applyAlignment="1">
      <alignment horizontal="right" wrapText="1"/>
    </xf>
    <xf numFmtId="0" fontId="3" fillId="7" borderId="12" xfId="0" applyFont="1" applyFill="1" applyBorder="1" applyAlignment="1">
      <alignment horizontal="center"/>
    </xf>
    <xf numFmtId="0" fontId="4" fillId="7" borderId="8" xfId="0" applyFont="1" applyFill="1" applyBorder="1" applyAlignment="1">
      <alignment wrapText="1"/>
    </xf>
    <xf numFmtId="0" fontId="4" fillId="7" borderId="11" xfId="0" applyFont="1" applyFill="1" applyBorder="1" applyAlignment="1">
      <alignment wrapText="1"/>
    </xf>
    <xf numFmtId="0" fontId="5" fillId="4" borderId="0" xfId="0" applyFont="1" applyFill="1" applyAlignment="1">
      <alignment horizontal="left"/>
    </xf>
    <xf numFmtId="0" fontId="0" fillId="0" borderId="0" xfId="0" applyAlignment="1">
      <alignment horizontal="right"/>
    </xf>
    <xf numFmtId="0" fontId="14" fillId="0" borderId="2" xfId="0" applyNumberFormat="1" applyFont="1" applyBorder="1" applyAlignment="1">
      <alignment wrapText="1"/>
    </xf>
    <xf numFmtId="0" fontId="15" fillId="0" borderId="0" xfId="0" applyFont="1"/>
    <xf numFmtId="0" fontId="15" fillId="0" borderId="2" xfId="0" applyFont="1" applyBorder="1"/>
    <xf numFmtId="0" fontId="16" fillId="0" borderId="2" xfId="0" applyFont="1" applyBorder="1" applyAlignment="1">
      <alignment horizontal="center"/>
    </xf>
    <xf numFmtId="0" fontId="16" fillId="0" borderId="2" xfId="0" applyFont="1" applyBorder="1" applyAlignment="1"/>
    <xf numFmtId="0" fontId="16" fillId="0" borderId="2" xfId="0" applyFont="1" applyBorder="1" applyAlignment="1">
      <alignment horizontal="right"/>
    </xf>
    <xf numFmtId="0" fontId="20" fillId="0" borderId="2" xfId="0" applyFont="1" applyBorder="1"/>
    <xf numFmtId="0" fontId="15" fillId="0" borderId="0" xfId="0" applyFont="1" applyAlignment="1">
      <alignment horizontal="center"/>
    </xf>
    <xf numFmtId="0" fontId="16" fillId="0" borderId="0" xfId="0" applyFont="1"/>
    <xf numFmtId="0" fontId="15" fillId="0" borderId="2" xfId="0" applyFont="1" applyBorder="1" applyAlignment="1">
      <alignment horizontal="center"/>
    </xf>
    <xf numFmtId="0" fontId="26" fillId="0" borderId="0" xfId="0" applyFont="1" applyAlignment="1">
      <alignment horizontal="justify" vertical="center"/>
    </xf>
    <xf numFmtId="0" fontId="29" fillId="0" borderId="0" xfId="0" applyFont="1" applyAlignment="1">
      <alignment vertical="center"/>
    </xf>
    <xf numFmtId="0" fontId="30" fillId="0" borderId="0" xfId="0" applyFont="1" applyAlignment="1">
      <alignment vertical="center"/>
    </xf>
    <xf numFmtId="0" fontId="24" fillId="9" borderId="15" xfId="0" applyFont="1" applyFill="1" applyBorder="1"/>
    <xf numFmtId="0" fontId="31" fillId="9" borderId="16" xfId="0" applyFont="1" applyFill="1" applyBorder="1" applyAlignment="1">
      <alignment vertical="center"/>
    </xf>
    <xf numFmtId="0" fontId="31" fillId="9" borderId="17" xfId="0" applyFont="1" applyFill="1" applyBorder="1" applyAlignment="1">
      <alignment vertical="center"/>
    </xf>
    <xf numFmtId="0" fontId="22" fillId="8" borderId="18" xfId="0" applyFont="1" applyFill="1" applyBorder="1" applyAlignment="1">
      <alignment horizontal="right" vertical="center"/>
    </xf>
    <xf numFmtId="0" fontId="26" fillId="0" borderId="0" xfId="0" applyFont="1" applyAlignment="1">
      <alignment horizontal="center" vertical="center"/>
    </xf>
    <xf numFmtId="0" fontId="29" fillId="0" borderId="2" xfId="0" applyFont="1" applyBorder="1" applyAlignment="1">
      <alignment vertical="center" wrapText="1"/>
    </xf>
    <xf numFmtId="0" fontId="29" fillId="0" borderId="2" xfId="0" applyFont="1" applyBorder="1" applyAlignment="1">
      <alignment horizontal="center" vertical="center" wrapText="1"/>
    </xf>
    <xf numFmtId="0" fontId="0" fillId="0" borderId="0" xfId="0" applyAlignment="1">
      <alignment horizontal="left" wrapText="1"/>
    </xf>
    <xf numFmtId="0" fontId="30" fillId="0" borderId="0" xfId="0" applyFont="1" applyAlignment="1">
      <alignment horizontal="left" vertical="center" wrapText="1"/>
    </xf>
    <xf numFmtId="0" fontId="0" fillId="0" borderId="0" xfId="0" applyBorder="1" applyAlignment="1">
      <alignment horizontal="left" wrapText="1"/>
    </xf>
    <xf numFmtId="0" fontId="30" fillId="0" borderId="0" xfId="0" applyFont="1" applyBorder="1" applyAlignment="1">
      <alignment horizontal="left" vertical="center" wrapText="1"/>
    </xf>
    <xf numFmtId="0" fontId="33" fillId="0" borderId="0" xfId="0" applyFont="1" applyBorder="1" applyAlignment="1">
      <alignment horizontal="left" vertical="center" wrapText="1"/>
    </xf>
    <xf numFmtId="0" fontId="15" fillId="0" borderId="0" xfId="0" applyFont="1" applyBorder="1"/>
    <xf numFmtId="0" fontId="17" fillId="0" borderId="2" xfId="0" applyFont="1" applyBorder="1" applyAlignment="1">
      <alignment horizontal="right"/>
    </xf>
    <xf numFmtId="0" fontId="17" fillId="0" borderId="2" xfId="0" applyFont="1" applyBorder="1" applyAlignment="1">
      <alignment horizontal="right" vertical="top"/>
    </xf>
    <xf numFmtId="0" fontId="35" fillId="0" borderId="0" xfId="0" applyFont="1"/>
    <xf numFmtId="0" fontId="35" fillId="0" borderId="0" xfId="0" applyFont="1" applyAlignment="1">
      <alignment horizontal="left"/>
    </xf>
    <xf numFmtId="0" fontId="0" fillId="0" borderId="11" xfId="0" applyBorder="1"/>
    <xf numFmtId="0" fontId="36" fillId="0" borderId="0" xfId="0" applyFont="1"/>
    <xf numFmtId="0" fontId="29" fillId="3" borderId="2" xfId="0" applyFont="1" applyFill="1" applyBorder="1" applyAlignment="1">
      <alignment horizontal="center" vertical="center" wrapText="1"/>
    </xf>
    <xf numFmtId="0" fontId="35" fillId="3" borderId="11" xfId="0" applyFont="1" applyFill="1" applyBorder="1"/>
    <xf numFmtId="0" fontId="35" fillId="3" borderId="0" xfId="0" applyFont="1" applyFill="1"/>
    <xf numFmtId="0" fontId="22" fillId="8" borderId="0" xfId="0" applyFont="1" applyFill="1" applyBorder="1" applyAlignment="1">
      <alignment horizontal="right" vertical="center"/>
    </xf>
    <xf numFmtId="2" fontId="22" fillId="8" borderId="18" xfId="0" applyNumberFormat="1" applyFont="1" applyFill="1" applyBorder="1" applyAlignment="1">
      <alignment horizontal="right" vertical="center"/>
    </xf>
    <xf numFmtId="0" fontId="0" fillId="0" borderId="11" xfId="0" applyBorder="1" applyAlignment="1">
      <alignment horizontal="left" vertical="center" wrapText="1"/>
    </xf>
    <xf numFmtId="0" fontId="0" fillId="0" borderId="11" xfId="0" applyBorder="1" applyAlignment="1">
      <alignment horizontal="left" wrapText="1"/>
    </xf>
    <xf numFmtId="0" fontId="37" fillId="0" borderId="11" xfId="0" applyFont="1" applyBorder="1"/>
    <xf numFmtId="22" fontId="0" fillId="0" borderId="0" xfId="0" applyNumberFormat="1" applyAlignment="1">
      <alignment horizontal="left" wrapText="1"/>
    </xf>
    <xf numFmtId="0" fontId="0" fillId="0" borderId="25" xfId="0" applyBorder="1"/>
    <xf numFmtId="164" fontId="0" fillId="3" borderId="2" xfId="0" applyNumberFormat="1" applyFill="1" applyBorder="1"/>
    <xf numFmtId="0" fontId="0" fillId="0" borderId="0" xfId="0" quotePrefix="1"/>
    <xf numFmtId="0" fontId="15" fillId="0" borderId="2" xfId="0" applyFont="1" applyBorder="1" applyAlignment="1">
      <alignment wrapText="1"/>
    </xf>
    <xf numFmtId="0" fontId="3" fillId="3" borderId="2" xfId="0" applyFont="1" applyFill="1" applyBorder="1"/>
    <xf numFmtId="0" fontId="3" fillId="3" borderId="2" xfId="0" applyFont="1" applyFill="1" applyBorder="1" applyAlignment="1">
      <alignment horizontal="left"/>
    </xf>
    <xf numFmtId="0" fontId="3" fillId="3" borderId="2" xfId="0" applyFont="1" applyFill="1" applyBorder="1"/>
    <xf numFmtId="0" fontId="3" fillId="3" borderId="2" xfId="0" applyFont="1" applyFill="1" applyBorder="1" applyAlignment="1">
      <alignment horizontal="left"/>
    </xf>
    <xf numFmtId="0" fontId="0" fillId="0" borderId="0" xfId="0"/>
    <xf numFmtId="0" fontId="0" fillId="0" borderId="0" xfId="0" applyNumberFormat="1"/>
    <xf numFmtId="0" fontId="3" fillId="3" borderId="2" xfId="0" applyFont="1" applyFill="1" applyBorder="1"/>
    <xf numFmtId="0" fontId="3" fillId="3" borderId="2" xfId="0" applyNumberFormat="1" applyFont="1" applyFill="1" applyBorder="1" applyAlignment="1">
      <alignment horizontal="center"/>
    </xf>
    <xf numFmtId="0" fontId="3" fillId="3" borderId="2" xfId="0" applyFont="1" applyFill="1" applyBorder="1"/>
    <xf numFmtId="0" fontId="3" fillId="3" borderId="2" xfId="0" applyFont="1" applyFill="1" applyBorder="1" applyAlignment="1">
      <alignment horizontal="center"/>
    </xf>
    <xf numFmtId="0" fontId="3" fillId="3" borderId="2" xfId="0" applyFont="1" applyFill="1" applyBorder="1"/>
    <xf numFmtId="0" fontId="3" fillId="3" borderId="2" xfId="0" applyFont="1" applyFill="1" applyBorder="1" applyAlignment="1">
      <alignment horizontal="center"/>
    </xf>
    <xf numFmtId="2" fontId="0" fillId="0" borderId="0" xfId="0" applyNumberFormat="1"/>
    <xf numFmtId="0" fontId="0" fillId="0" borderId="0" xfId="0"/>
    <xf numFmtId="0" fontId="38" fillId="0" borderId="0" xfId="0" applyFont="1" applyAlignment="1">
      <alignment horizontal="center"/>
    </xf>
    <xf numFmtId="0" fontId="0" fillId="6" borderId="0" xfId="0" applyFill="1" applyBorder="1"/>
    <xf numFmtId="0" fontId="7" fillId="0" borderId="0" xfId="0" applyFont="1"/>
    <xf numFmtId="0" fontId="48" fillId="4" borderId="0" xfId="0" quotePrefix="1" applyFont="1" applyFill="1" applyAlignment="1">
      <alignment wrapText="1"/>
    </xf>
    <xf numFmtId="0" fontId="43" fillId="4" borderId="0" xfId="0" applyFont="1" applyFill="1" applyAlignment="1">
      <alignment horizontal="left" vertical="center" wrapText="1"/>
    </xf>
    <xf numFmtId="0" fontId="44" fillId="4" borderId="0" xfId="0" applyFont="1" applyFill="1" applyAlignment="1">
      <alignment horizontal="left" vertical="center" wrapText="1"/>
    </xf>
    <xf numFmtId="0" fontId="45" fillId="4" borderId="0" xfId="0" applyFont="1" applyFill="1" applyAlignment="1">
      <alignment horizontal="left" vertical="center" wrapText="1"/>
    </xf>
    <xf numFmtId="0" fontId="0" fillId="4" borderId="0" xfId="0" applyFill="1" applyAlignment="1">
      <alignment horizontal="left" vertical="center" wrapText="1" indent="1"/>
    </xf>
    <xf numFmtId="0" fontId="44" fillId="4" borderId="0" xfId="0" applyFont="1" applyFill="1" applyAlignment="1">
      <alignment horizontal="left" vertical="center" wrapText="1" indent="1"/>
    </xf>
    <xf numFmtId="0" fontId="46" fillId="4" borderId="0" xfId="0" applyFont="1" applyFill="1" applyAlignment="1">
      <alignment horizontal="left" vertical="center"/>
    </xf>
    <xf numFmtId="0" fontId="0" fillId="4" borderId="0" xfId="0" applyFill="1" applyAlignment="1">
      <alignment horizontal="left" vertical="center"/>
    </xf>
    <xf numFmtId="0" fontId="47" fillId="4" borderId="0" xfId="1" applyFill="1" applyAlignment="1">
      <alignment horizontal="left" vertical="center" wrapText="1"/>
    </xf>
    <xf numFmtId="0" fontId="10" fillId="0" borderId="0" xfId="0" applyFont="1" applyAlignment="1">
      <alignment horizontal="right"/>
    </xf>
    <xf numFmtId="0" fontId="48" fillId="0" borderId="0" xfId="0" applyFont="1" applyAlignment="1">
      <alignment horizontal="right"/>
    </xf>
    <xf numFmtId="0" fontId="49" fillId="3" borderId="0" xfId="0" quotePrefix="1" applyFont="1" applyFill="1" applyAlignment="1">
      <alignment horizontal="center" wrapText="1"/>
    </xf>
    <xf numFmtId="49" fontId="0" fillId="0" borderId="0" xfId="0" applyNumberFormat="1"/>
    <xf numFmtId="0" fontId="4" fillId="0" borderId="13" xfId="0" applyFont="1" applyBorder="1" applyAlignment="1">
      <alignment horizontal="center"/>
    </xf>
    <xf numFmtId="0" fontId="4" fillId="0" borderId="14" xfId="0" applyFont="1" applyBorder="1" applyAlignment="1">
      <alignment horizontal="center"/>
    </xf>
    <xf numFmtId="0" fontId="2" fillId="4" borderId="0" xfId="0" applyFont="1" applyFill="1" applyAlignment="1">
      <alignment horizontal="center"/>
    </xf>
    <xf numFmtId="0" fontId="4" fillId="0" borderId="5" xfId="0" applyFont="1" applyBorder="1" applyAlignment="1">
      <alignment horizontal="center"/>
    </xf>
    <xf numFmtId="0" fontId="5" fillId="2" borderId="2" xfId="0" applyNumberFormat="1" applyFont="1" applyFill="1" applyBorder="1" applyAlignment="1">
      <alignment horizontal="center"/>
    </xf>
    <xf numFmtId="0" fontId="11" fillId="7" borderId="7" xfId="0" applyFont="1" applyFill="1" applyBorder="1" applyAlignment="1">
      <alignment horizontal="center" vertical="center" wrapText="1"/>
    </xf>
    <xf numFmtId="0" fontId="11" fillId="7" borderId="10" xfId="0" applyFont="1" applyFill="1" applyBorder="1" applyAlignment="1">
      <alignment horizontal="center" vertical="center" wrapText="1"/>
    </xf>
    <xf numFmtId="14" fontId="6" fillId="0" borderId="2" xfId="0" applyNumberFormat="1" applyFont="1" applyBorder="1" applyAlignment="1">
      <alignment horizontal="left" wrapText="1"/>
    </xf>
    <xf numFmtId="0" fontId="17" fillId="0" borderId="2" xfId="0" applyFont="1" applyBorder="1" applyAlignment="1">
      <alignment horizontal="left"/>
    </xf>
    <xf numFmtId="0" fontId="17" fillId="0" borderId="2" xfId="0" applyFont="1" applyBorder="1" applyAlignment="1">
      <alignment horizontal="left" vertical="top"/>
    </xf>
    <xf numFmtId="0" fontId="18" fillId="0" borderId="0" xfId="0" applyFont="1" applyBorder="1" applyAlignment="1">
      <alignment horizontal="center"/>
    </xf>
    <xf numFmtId="0" fontId="21" fillId="0" borderId="3" xfId="0" applyFont="1" applyBorder="1" applyAlignment="1">
      <alignment horizontal="center"/>
    </xf>
    <xf numFmtId="0" fontId="21" fillId="0" borderId="2" xfId="0" applyFont="1" applyBorder="1" applyAlignment="1">
      <alignment horizontal="center"/>
    </xf>
    <xf numFmtId="0" fontId="15" fillId="0" borderId="0" xfId="0" applyFont="1" applyBorder="1" applyAlignment="1">
      <alignment horizontal="center"/>
    </xf>
    <xf numFmtId="0" fontId="16" fillId="0" borderId="0" xfId="0" applyFont="1" applyBorder="1" applyAlignment="1">
      <alignment horizontal="center"/>
    </xf>
    <xf numFmtId="0" fontId="19" fillId="0" borderId="0" xfId="0" applyFont="1" applyBorder="1" applyAlignment="1">
      <alignment horizontal="center"/>
    </xf>
    <xf numFmtId="0" fontId="15" fillId="0" borderId="24" xfId="0" applyFont="1" applyBorder="1" applyAlignment="1">
      <alignment horizontal="center"/>
    </xf>
    <xf numFmtId="0" fontId="15" fillId="0" borderId="25" xfId="0" applyFont="1" applyBorder="1" applyAlignment="1">
      <alignment horizontal="center"/>
    </xf>
    <xf numFmtId="0" fontId="28" fillId="0" borderId="0" xfId="0" applyFont="1" applyAlignment="1">
      <alignment horizontal="left" vertical="center"/>
    </xf>
    <xf numFmtId="0" fontId="22" fillId="9" borderId="19" xfId="0" applyFont="1" applyFill="1" applyBorder="1" applyAlignment="1">
      <alignment horizontal="right" vertical="center"/>
    </xf>
    <xf numFmtId="0" fontId="22" fillId="9" borderId="20" xfId="0" applyFont="1" applyFill="1" applyBorder="1" applyAlignment="1">
      <alignment horizontal="right" vertical="center"/>
    </xf>
    <xf numFmtId="0" fontId="22" fillId="9" borderId="16" xfId="0" applyFont="1" applyFill="1" applyBorder="1" applyAlignment="1">
      <alignment horizontal="right" vertical="center"/>
    </xf>
    <xf numFmtId="0" fontId="25" fillId="0" borderId="0" xfId="0" applyFont="1" applyAlignment="1">
      <alignment horizontal="left" vertical="center" wrapText="1"/>
    </xf>
    <xf numFmtId="0" fontId="34" fillId="0" borderId="0" xfId="0" applyFont="1" applyAlignment="1">
      <alignment horizontal="center" vertical="center"/>
    </xf>
    <xf numFmtId="0" fontId="24" fillId="0" borderId="0" xfId="0" applyFont="1" applyAlignment="1">
      <alignment horizontal="center" vertical="center"/>
    </xf>
    <xf numFmtId="0" fontId="26" fillId="0" borderId="0" xfId="0" applyFont="1" applyAlignment="1">
      <alignment horizontal="left" vertical="center"/>
    </xf>
    <xf numFmtId="0" fontId="32" fillId="3" borderId="19" xfId="0" applyFont="1" applyFill="1" applyBorder="1" applyAlignment="1">
      <alignment horizontal="left" vertical="top" wrapText="1"/>
    </xf>
    <xf numFmtId="0" fontId="32" fillId="3" borderId="20" xfId="0" applyFont="1" applyFill="1" applyBorder="1" applyAlignment="1">
      <alignment horizontal="left" vertical="top" wrapText="1"/>
    </xf>
    <xf numFmtId="0" fontId="32" fillId="3" borderId="16" xfId="0" applyFont="1" applyFill="1" applyBorder="1" applyAlignment="1">
      <alignment horizontal="left" vertical="top" wrapText="1"/>
    </xf>
    <xf numFmtId="0" fontId="29" fillId="0" borderId="2" xfId="0" applyFont="1" applyBorder="1" applyAlignment="1">
      <alignment horizontal="center" vertical="center" wrapText="1"/>
    </xf>
    <xf numFmtId="0" fontId="30" fillId="0" borderId="21" xfId="0" applyFont="1" applyBorder="1" applyAlignment="1">
      <alignment horizontal="left" vertical="center" wrapText="1"/>
    </xf>
    <xf numFmtId="0" fontId="30" fillId="0" borderId="0" xfId="0" applyFont="1" applyBorder="1" applyAlignment="1">
      <alignment horizontal="left" vertical="center" wrapText="1"/>
    </xf>
    <xf numFmtId="0" fontId="32" fillId="3" borderId="7" xfId="0" applyFont="1" applyFill="1" applyBorder="1" applyAlignment="1">
      <alignment horizontal="left" vertical="top" wrapText="1"/>
    </xf>
    <xf numFmtId="0" fontId="32" fillId="3" borderId="8" xfId="0" applyFont="1" applyFill="1" applyBorder="1" applyAlignment="1">
      <alignment horizontal="left" vertical="top" wrapText="1"/>
    </xf>
    <xf numFmtId="0" fontId="32" fillId="3" borderId="22" xfId="0" applyFont="1" applyFill="1" applyBorder="1" applyAlignment="1">
      <alignment horizontal="left" vertical="top" wrapText="1"/>
    </xf>
    <xf numFmtId="0" fontId="32" fillId="3" borderId="10" xfId="0" applyFont="1" applyFill="1" applyBorder="1" applyAlignment="1">
      <alignment horizontal="left" vertical="top" wrapText="1"/>
    </xf>
    <xf numFmtId="0" fontId="32" fillId="3" borderId="11" xfId="0" applyFont="1" applyFill="1" applyBorder="1" applyAlignment="1">
      <alignment horizontal="left" vertical="top" wrapText="1"/>
    </xf>
    <xf numFmtId="0" fontId="32" fillId="3" borderId="18" xfId="0" applyFont="1" applyFill="1" applyBorder="1" applyAlignment="1">
      <alignment horizontal="left" vertical="top" wrapText="1"/>
    </xf>
    <xf numFmtId="0" fontId="33" fillId="0" borderId="0" xfId="0" applyFont="1" applyBorder="1" applyAlignment="1">
      <alignment horizontal="left" vertical="center" wrapText="1"/>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22" xfId="0" applyFont="1" applyBorder="1" applyAlignment="1">
      <alignment horizontal="left" vertical="top"/>
    </xf>
    <xf numFmtId="0" fontId="26" fillId="0" borderId="21" xfId="0" applyFont="1" applyBorder="1" applyAlignment="1">
      <alignment horizontal="left" vertical="top"/>
    </xf>
    <xf numFmtId="0" fontId="26" fillId="0" borderId="0" xfId="0" applyFont="1" applyBorder="1" applyAlignment="1">
      <alignment horizontal="left" vertical="top"/>
    </xf>
    <xf numFmtId="0" fontId="26" fillId="0" borderId="23" xfId="0" applyFont="1" applyBorder="1" applyAlignment="1">
      <alignment horizontal="left" vertical="top"/>
    </xf>
    <xf numFmtId="0" fontId="26" fillId="0" borderId="10" xfId="0" applyFont="1" applyBorder="1" applyAlignment="1">
      <alignment horizontal="left" vertical="top"/>
    </xf>
    <xf numFmtId="0" fontId="26" fillId="0" borderId="11" xfId="0" applyFont="1" applyBorder="1" applyAlignment="1">
      <alignment horizontal="left" vertical="top"/>
    </xf>
    <xf numFmtId="0" fontId="26" fillId="0" borderId="18" xfId="0" applyFont="1" applyBorder="1" applyAlignment="1">
      <alignment horizontal="left" vertical="top"/>
    </xf>
    <xf numFmtId="0" fontId="0" fillId="0" borderId="0" xfId="0" applyAlignment="1">
      <alignment horizontal="left"/>
    </xf>
    <xf numFmtId="0" fontId="0" fillId="0" borderId="0" xfId="0" applyAlignment="1">
      <alignment horizontal="right"/>
    </xf>
    <xf numFmtId="0" fontId="13" fillId="0" borderId="0" xfId="0" applyFont="1" applyAlignment="1">
      <alignment horizontal="center" vertical="top" wrapText="1"/>
    </xf>
  </cellXfs>
  <cellStyles count="2">
    <cellStyle name="Hyperlink" xfId="1" builtinId="8"/>
    <cellStyle name="Normal" xfId="0" builtinId="0"/>
  </cellStyles>
  <dxfs count="4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fgColor indexed="64"/>
          <bgColor rgb="FFFFC7CE"/>
        </patternFill>
      </fill>
    </dxf>
    <dxf>
      <font>
        <color rgb="FF9C0006"/>
      </font>
      <fill>
        <patternFill>
          <fgColor indexed="64"/>
          <bgColor rgb="FFFFC7CE"/>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5" tint="0.39994506668294322"/>
        </patternFill>
      </fill>
    </dxf>
    <dxf>
      <fill>
        <patternFill>
          <bgColor theme="7" tint="0.39994506668294322"/>
        </patternFill>
      </fill>
    </dxf>
    <dxf>
      <fill>
        <patternFill>
          <bgColor theme="9" tint="0.59996337778862885"/>
        </patternFill>
      </fill>
    </dxf>
    <dxf>
      <fill>
        <patternFill>
          <bgColor theme="3" tint="0.79998168889431442"/>
        </patternFill>
      </fill>
    </dxf>
    <dxf>
      <fill>
        <patternFill>
          <bgColor theme="9" tint="0.79998168889431442"/>
        </patternFill>
      </fill>
    </dxf>
    <dxf>
      <fill>
        <patternFill>
          <bgColor rgb="FFFFFF00"/>
        </patternFill>
      </fill>
    </dxf>
    <dxf>
      <font>
        <b/>
        <i val="0"/>
        <strike/>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image" Target="../media/image3.png"/></Relationships>
</file>

<file path=xl/charts/_rels/chart2.xml.rels><?xml version="1.0" encoding="UTF-8" standalone="yes"?>
<Relationships xmlns="http://schemas.openxmlformats.org/package/2006/relationships"><Relationship Id="rId1" Type="http://schemas.openxmlformats.org/officeDocument/2006/relationships/image" Target="../media/image3.png"/></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latin typeface="Arial" panose="020B0604020202020204" pitchFamily="34" charset="0"/>
                <a:cs typeface="Arial" panose="020B0604020202020204" pitchFamily="34" charset="0"/>
              </a:rPr>
              <a:t>Cohort CLO Atainment</a:t>
            </a:r>
          </a:p>
        </c:rich>
      </c:tx>
      <c:overlay val="0"/>
      <c:spPr>
        <a:noFill/>
        <a:ln>
          <a:noFill/>
        </a:ln>
        <a:effectLst/>
      </c:spPr>
    </c:title>
    <c:autoTitleDeleted val="0"/>
    <c:plotArea>
      <c:layout>
        <c:manualLayout>
          <c:layoutTarget val="inner"/>
          <c:xMode val="edge"/>
          <c:yMode val="edge"/>
          <c:x val="0.2726754017407903"/>
          <c:y val="0.15775222685508183"/>
          <c:w val="0.70887927546606078"/>
          <c:h val="0.34177746769969058"/>
        </c:manualLayout>
      </c:layout>
      <c:barChart>
        <c:barDir val="col"/>
        <c:grouping val="clustered"/>
        <c:varyColors val="0"/>
        <c:ser>
          <c:idx val="0"/>
          <c:order val="0"/>
          <c:tx>
            <c:strRef>
              <c:f>RCharts!$BK$1</c:f>
              <c:strCache>
                <c:ptCount val="1"/>
                <c:pt idx="0">
                  <c:v>Sec-U</c:v>
                </c:pt>
              </c:strCache>
            </c:strRef>
          </c:tx>
          <c:spPr>
            <a:solidFill>
              <a:schemeClr val="accent1"/>
            </a:solidFill>
            <a:ln>
              <a:noFill/>
            </a:ln>
            <a:effectLst/>
          </c:spPr>
          <c:invertIfNegative val="0"/>
          <c:cat>
            <c:strRef>
              <c:f>RCharts!$BJ$2:$BJ$6</c:f>
              <c:strCache>
                <c:ptCount val="5"/>
                <c:pt idx="0">
                  <c:v>CLO1</c:v>
                </c:pt>
                <c:pt idx="1">
                  <c:v>CLO2</c:v>
                </c:pt>
                <c:pt idx="2">
                  <c:v>CLO3</c:v>
                </c:pt>
                <c:pt idx="3">
                  <c:v>CLO4</c:v>
                </c:pt>
                <c:pt idx="4">
                  <c:v>CLO5</c:v>
                </c:pt>
              </c:strCache>
            </c:strRef>
          </c:cat>
          <c:val>
            <c:numRef>
              <c:f>RCharts!$BK$2:$BK$6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FAE2-4FDC-A4B6-D8235ED75A4B}"/>
            </c:ext>
          </c:extLst>
        </c:ser>
        <c:ser>
          <c:idx val="1"/>
          <c:order val="1"/>
          <c:tx>
            <c:strRef>
              <c:f>RCharts!$BL$1</c:f>
              <c:strCache>
                <c:ptCount val="1"/>
                <c:pt idx="0">
                  <c:v>Sec-T</c:v>
                </c:pt>
              </c:strCache>
            </c:strRef>
          </c:tx>
          <c:spPr>
            <a:solidFill>
              <a:schemeClr val="accent2"/>
            </a:solidFill>
            <a:ln>
              <a:noFill/>
            </a:ln>
            <a:effectLst/>
          </c:spPr>
          <c:invertIfNegative val="0"/>
          <c:cat>
            <c:strRef>
              <c:f>RCharts!$BJ$2:$BJ$6</c:f>
              <c:strCache>
                <c:ptCount val="5"/>
                <c:pt idx="0">
                  <c:v>CLO1</c:v>
                </c:pt>
                <c:pt idx="1">
                  <c:v>CLO2</c:v>
                </c:pt>
                <c:pt idx="2">
                  <c:v>CLO3</c:v>
                </c:pt>
                <c:pt idx="3">
                  <c:v>CLO4</c:v>
                </c:pt>
                <c:pt idx="4">
                  <c:v>CLO5</c:v>
                </c:pt>
              </c:strCache>
            </c:strRef>
          </c:cat>
          <c:val>
            <c:numRef>
              <c:f>RCharts!$BL$2:$BL$6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1-FAE2-4FDC-A4B6-D8235ED75A4B}"/>
            </c:ext>
          </c:extLst>
        </c:ser>
        <c:ser>
          <c:idx val="2"/>
          <c:order val="2"/>
          <c:tx>
            <c:strRef>
              <c:f>RCharts!$BM$1</c:f>
              <c:strCache>
                <c:ptCount val="1"/>
                <c:pt idx="0">
                  <c:v>Sec-C</c:v>
                </c:pt>
              </c:strCache>
            </c:strRef>
          </c:tx>
          <c:spPr>
            <a:solidFill>
              <a:schemeClr val="accent3"/>
            </a:solidFill>
            <a:ln>
              <a:noFill/>
            </a:ln>
            <a:effectLst/>
          </c:spPr>
          <c:invertIfNegative val="0"/>
          <c:cat>
            <c:strRef>
              <c:f>RCharts!$BJ$2:$BJ$6</c:f>
              <c:strCache>
                <c:ptCount val="5"/>
                <c:pt idx="0">
                  <c:v>CLO1</c:v>
                </c:pt>
                <c:pt idx="1">
                  <c:v>CLO2</c:v>
                </c:pt>
                <c:pt idx="2">
                  <c:v>CLO3</c:v>
                </c:pt>
                <c:pt idx="3">
                  <c:v>CLO4</c:v>
                </c:pt>
                <c:pt idx="4">
                  <c:v>CLO5</c:v>
                </c:pt>
              </c:strCache>
            </c:strRef>
          </c:cat>
          <c:val>
            <c:numRef>
              <c:f>RCharts!$BM$2:$BM$6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FAE2-4FDC-A4B6-D8235ED75A4B}"/>
            </c:ext>
          </c:extLst>
        </c:ser>
        <c:ser>
          <c:idx val="3"/>
          <c:order val="3"/>
          <c:tx>
            <c:strRef>
              <c:f>RCharts!$BN$1</c:f>
              <c:strCache>
                <c:ptCount val="1"/>
                <c:pt idx="0">
                  <c:v>Sec-M</c:v>
                </c:pt>
              </c:strCache>
            </c:strRef>
          </c:tx>
          <c:spPr>
            <a:solidFill>
              <a:schemeClr val="accent4"/>
            </a:solidFill>
            <a:ln>
              <a:noFill/>
            </a:ln>
            <a:effectLst/>
          </c:spPr>
          <c:invertIfNegative val="0"/>
          <c:cat>
            <c:strRef>
              <c:f>RCharts!$BJ$2:$BJ$6</c:f>
              <c:strCache>
                <c:ptCount val="5"/>
                <c:pt idx="0">
                  <c:v>CLO1</c:v>
                </c:pt>
                <c:pt idx="1">
                  <c:v>CLO2</c:v>
                </c:pt>
                <c:pt idx="2">
                  <c:v>CLO3</c:v>
                </c:pt>
                <c:pt idx="3">
                  <c:v>CLO4</c:v>
                </c:pt>
                <c:pt idx="4">
                  <c:v>CLO5</c:v>
                </c:pt>
              </c:strCache>
            </c:strRef>
          </c:cat>
          <c:val>
            <c:numRef>
              <c:f>RCharts!$BN$2:$BN$6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3-FAE2-4FDC-A4B6-D8235ED75A4B}"/>
            </c:ext>
          </c:extLst>
        </c:ser>
        <c:ser>
          <c:idx val="4"/>
          <c:order val="4"/>
          <c:tx>
            <c:strRef>
              <c:f>RCharts!$BO$1</c:f>
              <c:strCache>
                <c:ptCount val="1"/>
                <c:pt idx="0">
                  <c:v>Sec-E</c:v>
                </c:pt>
              </c:strCache>
            </c:strRef>
          </c:tx>
          <c:spPr>
            <a:solidFill>
              <a:schemeClr val="accent5"/>
            </a:solidFill>
            <a:ln>
              <a:noFill/>
            </a:ln>
            <a:effectLst/>
          </c:spPr>
          <c:invertIfNegative val="0"/>
          <c:cat>
            <c:strRef>
              <c:f>RCharts!$BJ$2:$BJ$6</c:f>
              <c:strCache>
                <c:ptCount val="5"/>
                <c:pt idx="0">
                  <c:v>CLO1</c:v>
                </c:pt>
                <c:pt idx="1">
                  <c:v>CLO2</c:v>
                </c:pt>
                <c:pt idx="2">
                  <c:v>CLO3</c:v>
                </c:pt>
                <c:pt idx="3">
                  <c:v>CLO4</c:v>
                </c:pt>
                <c:pt idx="4">
                  <c:v>CLO5</c:v>
                </c:pt>
              </c:strCache>
            </c:strRef>
          </c:cat>
          <c:val>
            <c:numRef>
              <c:f>RCharts!$BO$2:$BO$6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4-FAE2-4FDC-A4B6-D8235ED75A4B}"/>
            </c:ext>
          </c:extLst>
        </c:ser>
        <c:ser>
          <c:idx val="5"/>
          <c:order val="5"/>
          <c:tx>
            <c:strRef>
              <c:f>RCharts!$BP$1</c:f>
              <c:strCache>
                <c:ptCount val="1"/>
                <c:pt idx="0">
                  <c:v>Comb-U,T,M</c:v>
                </c:pt>
              </c:strCache>
            </c:strRef>
          </c:tx>
          <c:spPr>
            <a:solidFill>
              <a:schemeClr val="accent6"/>
            </a:solidFill>
            <a:ln>
              <a:noFill/>
            </a:ln>
            <a:effectLst/>
          </c:spPr>
          <c:invertIfNegative val="0"/>
          <c:cat>
            <c:strRef>
              <c:f>RCharts!$BJ$2:$BJ$6</c:f>
              <c:strCache>
                <c:ptCount val="5"/>
                <c:pt idx="0">
                  <c:v>CLO1</c:v>
                </c:pt>
                <c:pt idx="1">
                  <c:v>CLO2</c:v>
                </c:pt>
                <c:pt idx="2">
                  <c:v>CLO3</c:v>
                </c:pt>
                <c:pt idx="3">
                  <c:v>CLO4</c:v>
                </c:pt>
                <c:pt idx="4">
                  <c:v>CLO5</c:v>
                </c:pt>
              </c:strCache>
            </c:strRef>
          </c:cat>
          <c:val>
            <c:numRef>
              <c:f>RCharts!$BP$2:$BP$6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5-FAE2-4FDC-A4B6-D8235ED75A4B}"/>
            </c:ext>
          </c:extLst>
        </c:ser>
        <c:dLbls>
          <c:showLegendKey val="0"/>
          <c:showVal val="0"/>
          <c:showCatName val="0"/>
          <c:showSerName val="0"/>
          <c:showPercent val="0"/>
          <c:showBubbleSize val="0"/>
        </c:dLbls>
        <c:gapWidth val="219"/>
        <c:axId val="-532990544"/>
        <c:axId val="-41012496"/>
      </c:barChart>
      <c:lineChart>
        <c:grouping val="standard"/>
        <c:varyColors val="0"/>
        <c:ser>
          <c:idx val="6"/>
          <c:order val="6"/>
          <c:tx>
            <c:strRef>
              <c:f>RCharts!$BQ$1</c:f>
              <c:strCache>
                <c:ptCount val="1"/>
                <c:pt idx="0">
                  <c:v>KPI</c:v>
                </c:pt>
              </c:strCache>
            </c:strRef>
          </c:tx>
          <c:spPr>
            <a:ln w="28575" cap="rnd">
              <a:solidFill>
                <a:srgbClr val="FF0000"/>
              </a:solidFill>
              <a:prstDash val="solid"/>
              <a:round/>
            </a:ln>
            <a:effectLst/>
          </c:spPr>
          <c:marker>
            <c:symbol val="picture"/>
            <c:spPr>
              <a:blipFill>
                <a:blip xmlns:r="http://schemas.openxmlformats.org/officeDocument/2006/relationships" r:embed="rId1"/>
                <a:stretch>
                  <a:fillRect/>
                </a:stretch>
              </a:blipFill>
              <a:ln w="25400">
                <a:noFill/>
              </a:ln>
              <a:effectLst/>
            </c:spPr>
          </c:marker>
          <c:cat>
            <c:strRef>
              <c:f>RCharts!$BJ$2:$BJ$6</c:f>
              <c:strCache>
                <c:ptCount val="5"/>
                <c:pt idx="0">
                  <c:v>CLO1</c:v>
                </c:pt>
                <c:pt idx="1">
                  <c:v>CLO2</c:v>
                </c:pt>
                <c:pt idx="2">
                  <c:v>CLO3</c:v>
                </c:pt>
                <c:pt idx="3">
                  <c:v>CLO4</c:v>
                </c:pt>
                <c:pt idx="4">
                  <c:v>CLO5</c:v>
                </c:pt>
              </c:strCache>
            </c:strRef>
          </c:cat>
          <c:val>
            <c:numRef>
              <c:f>RCharts!$BQ$2:$BQ$6</c:f>
              <c:numCache>
                <c:formatCode>General</c:formatCode>
                <c:ptCount val="5"/>
                <c:pt idx="0">
                  <c:v>60</c:v>
                </c:pt>
                <c:pt idx="1">
                  <c:v>60</c:v>
                </c:pt>
                <c:pt idx="2">
                  <c:v>60</c:v>
                </c:pt>
                <c:pt idx="3">
                  <c:v>60</c:v>
                </c:pt>
                <c:pt idx="4">
                  <c:v>60</c:v>
                </c:pt>
              </c:numCache>
            </c:numRef>
          </c:val>
          <c:smooth val="0"/>
          <c:extLst>
            <c:ext xmlns:c16="http://schemas.microsoft.com/office/drawing/2014/chart" uri="{C3380CC4-5D6E-409C-BE32-E72D297353CC}">
              <c16:uniqueId val="{00000006-FAE2-4FDC-A4B6-D8235ED75A4B}"/>
            </c:ext>
          </c:extLst>
        </c:ser>
        <c:dLbls>
          <c:showLegendKey val="0"/>
          <c:showVal val="0"/>
          <c:showCatName val="0"/>
          <c:showSerName val="0"/>
          <c:showPercent val="0"/>
          <c:showBubbleSize val="0"/>
        </c:dLbls>
        <c:marker val="1"/>
        <c:smooth val="0"/>
        <c:axId val="-532990544"/>
        <c:axId val="-41012496"/>
      </c:lineChart>
      <c:catAx>
        <c:axId val="-532990544"/>
        <c:scaling>
          <c:orientation val="minMax"/>
        </c:scaling>
        <c:delete val="0"/>
        <c:axPos val="b"/>
        <c:numFmt formatCode="General" sourceLinked="1"/>
        <c:majorTickMark val="none"/>
        <c:minorTickMark val="none"/>
        <c:tickLblPos val="nextTo"/>
        <c:spPr>
          <a:noFill/>
          <a:ln w="9525" cap="flat" cmpd="sng" algn="ctr">
            <a:solidFill>
              <a:schemeClr val="accent1">
                <a:lumMod val="6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1012496"/>
        <c:crosses val="autoZero"/>
        <c:auto val="1"/>
        <c:lblAlgn val="ctr"/>
        <c:lblOffset val="100"/>
        <c:noMultiLvlLbl val="0"/>
      </c:catAx>
      <c:valAx>
        <c:axId val="-4101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32990544"/>
        <c:crosses val="autoZero"/>
        <c:crossBetween val="between"/>
      </c:valAx>
      <c:dTable>
        <c:showHorzBorder val="1"/>
        <c:showVertBorder val="1"/>
        <c:showOutline val="1"/>
        <c:showKeys val="1"/>
      </c:dTable>
      <c:spPr>
        <a:noFill/>
        <a:ln>
          <a:solidFill>
            <a:schemeClr val="accent1">
              <a:lumMod val="6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accent1">
          <a:lumMod val="60000"/>
        </a:schemeClr>
      </a:solidFill>
      <a:round/>
    </a:ln>
    <a:effectLst/>
  </c:spPr>
  <c:txPr>
    <a:bodyPr/>
    <a:lstStyle/>
    <a:p>
      <a:pPr>
        <a:defRPr/>
      </a:pPr>
      <a:endParaRPr lang="en-P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0" i="0" baseline="0">
                <a:effectLst/>
                <a:latin typeface="Arial" panose="020B0604020202020204" pitchFamily="34" charset="0"/>
                <a:cs typeface="Arial" panose="020B0604020202020204" pitchFamily="34" charset="0"/>
              </a:rPr>
              <a:t>Cohort PLO Atainment </a:t>
            </a:r>
            <a:endParaRPr lang="en-US">
              <a:effectLst/>
              <a:latin typeface="Arial" panose="020B0604020202020204" pitchFamily="34" charset="0"/>
              <a:cs typeface="Arial" panose="020B0604020202020204" pitchFamily="34" charset="0"/>
            </a:endParaRPr>
          </a:p>
        </c:rich>
      </c:tx>
      <c:overlay val="0"/>
      <c:spPr>
        <a:noFill/>
        <a:ln>
          <a:noFill/>
        </a:ln>
        <a:effectLst/>
      </c:spPr>
    </c:title>
    <c:autoTitleDeleted val="0"/>
    <c:plotArea>
      <c:layout>
        <c:manualLayout>
          <c:layoutTarget val="inner"/>
          <c:xMode val="edge"/>
          <c:yMode val="edge"/>
          <c:x val="0.20176610334775347"/>
          <c:y val="0.15775222685508183"/>
          <c:w val="0.78808896911601467"/>
          <c:h val="0.37666991237547209"/>
        </c:manualLayout>
      </c:layout>
      <c:barChart>
        <c:barDir val="col"/>
        <c:grouping val="clustered"/>
        <c:varyColors val="0"/>
        <c:ser>
          <c:idx val="0"/>
          <c:order val="0"/>
          <c:tx>
            <c:strRef>
              <c:f>RCharts!$BK$1</c:f>
              <c:strCache>
                <c:ptCount val="1"/>
                <c:pt idx="0">
                  <c:v>Sec-U</c:v>
                </c:pt>
              </c:strCache>
            </c:strRef>
          </c:tx>
          <c:spPr>
            <a:solidFill>
              <a:schemeClr val="accent1"/>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RCharts!$BK$7:$BK$18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1-4818-B95B-4C832BE15D14}"/>
            </c:ext>
          </c:extLst>
        </c:ser>
        <c:ser>
          <c:idx val="1"/>
          <c:order val="1"/>
          <c:tx>
            <c:strRef>
              <c:f>RCharts!$BL$1</c:f>
              <c:strCache>
                <c:ptCount val="1"/>
                <c:pt idx="0">
                  <c:v>Sec-T</c:v>
                </c:pt>
              </c:strCache>
            </c:strRef>
          </c:tx>
          <c:spPr>
            <a:solidFill>
              <a:schemeClr val="accent2"/>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RCharts!$BL$7:$BL$18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381-4818-B95B-4C832BE15D14}"/>
            </c:ext>
          </c:extLst>
        </c:ser>
        <c:ser>
          <c:idx val="2"/>
          <c:order val="2"/>
          <c:tx>
            <c:strRef>
              <c:f>RCharts!$BM$1</c:f>
              <c:strCache>
                <c:ptCount val="1"/>
                <c:pt idx="0">
                  <c:v>Sec-C</c:v>
                </c:pt>
              </c:strCache>
            </c:strRef>
          </c:tx>
          <c:spPr>
            <a:solidFill>
              <a:schemeClr val="accent3"/>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RCharts!$BM$7:$BM$18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D381-4818-B95B-4C832BE15D14}"/>
            </c:ext>
          </c:extLst>
        </c:ser>
        <c:ser>
          <c:idx val="3"/>
          <c:order val="3"/>
          <c:tx>
            <c:strRef>
              <c:f>RCharts!$BN$1</c:f>
              <c:strCache>
                <c:ptCount val="1"/>
                <c:pt idx="0">
                  <c:v>Sec-M</c:v>
                </c:pt>
              </c:strCache>
            </c:strRef>
          </c:tx>
          <c:spPr>
            <a:solidFill>
              <a:schemeClr val="accent4"/>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RCharts!$BN$7:$BN$18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381-4818-B95B-4C832BE15D14}"/>
            </c:ext>
          </c:extLst>
        </c:ser>
        <c:ser>
          <c:idx val="4"/>
          <c:order val="4"/>
          <c:tx>
            <c:strRef>
              <c:f>RCharts!$BO$1</c:f>
              <c:strCache>
                <c:ptCount val="1"/>
                <c:pt idx="0">
                  <c:v>Sec-E</c:v>
                </c:pt>
              </c:strCache>
            </c:strRef>
          </c:tx>
          <c:spPr>
            <a:solidFill>
              <a:schemeClr val="accent5"/>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RCharts!$BO$7:$BO$18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D381-4818-B95B-4C832BE15D14}"/>
            </c:ext>
          </c:extLst>
        </c:ser>
        <c:ser>
          <c:idx val="5"/>
          <c:order val="5"/>
          <c:tx>
            <c:strRef>
              <c:f>RCharts!$BP$1</c:f>
              <c:strCache>
                <c:ptCount val="1"/>
                <c:pt idx="0">
                  <c:v>Comb-U,T,M</c:v>
                </c:pt>
              </c:strCache>
            </c:strRef>
          </c:tx>
          <c:spPr>
            <a:solidFill>
              <a:schemeClr val="accent6"/>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RCharts!$BP$7:$BP$18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381-4818-B95B-4C832BE15D14}"/>
            </c:ext>
          </c:extLst>
        </c:ser>
        <c:dLbls>
          <c:showLegendKey val="0"/>
          <c:showVal val="0"/>
          <c:showCatName val="0"/>
          <c:showSerName val="0"/>
          <c:showPercent val="0"/>
          <c:showBubbleSize val="0"/>
        </c:dLbls>
        <c:gapWidth val="219"/>
        <c:axId val="-41016848"/>
        <c:axId val="-41013584"/>
      </c:barChart>
      <c:lineChart>
        <c:grouping val="standard"/>
        <c:varyColors val="0"/>
        <c:ser>
          <c:idx val="6"/>
          <c:order val="6"/>
          <c:tx>
            <c:strRef>
              <c:f>RCharts!$BQ$1</c:f>
              <c:strCache>
                <c:ptCount val="1"/>
                <c:pt idx="0">
                  <c:v>KPI</c:v>
                </c:pt>
              </c:strCache>
            </c:strRef>
          </c:tx>
          <c:spPr>
            <a:ln w="28575" cap="rnd">
              <a:solidFill>
                <a:srgbClr val="FF0000"/>
              </a:solidFill>
              <a:prstDash val="solid"/>
              <a:round/>
            </a:ln>
            <a:effectLst/>
          </c:spPr>
          <c:marker>
            <c:symbol val="picture"/>
            <c:spPr>
              <a:blipFill>
                <a:blip xmlns:r="http://schemas.openxmlformats.org/officeDocument/2006/relationships" r:embed="rId1"/>
                <a:stretch>
                  <a:fillRect/>
                </a:stretch>
              </a:blipFill>
              <a:ln w="25400">
                <a:noFill/>
              </a:ln>
              <a:effectLst/>
            </c:spPr>
          </c:marker>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RCharts!$BQ$7:$BQ$18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6-D381-4818-B95B-4C832BE15D14}"/>
            </c:ext>
          </c:extLst>
        </c:ser>
        <c:dLbls>
          <c:showLegendKey val="0"/>
          <c:showVal val="0"/>
          <c:showCatName val="0"/>
          <c:showSerName val="0"/>
          <c:showPercent val="0"/>
          <c:showBubbleSize val="0"/>
        </c:dLbls>
        <c:marker val="1"/>
        <c:smooth val="0"/>
        <c:axId val="-41016848"/>
        <c:axId val="-41013584"/>
      </c:lineChart>
      <c:catAx>
        <c:axId val="-41016848"/>
        <c:scaling>
          <c:orientation val="minMax"/>
        </c:scaling>
        <c:delete val="0"/>
        <c:axPos val="b"/>
        <c:numFmt formatCode="General" sourceLinked="1"/>
        <c:majorTickMark val="none"/>
        <c:minorTickMark val="none"/>
        <c:tickLblPos val="nextTo"/>
        <c:spPr>
          <a:noFill/>
          <a:ln w="9525" cap="flat" cmpd="sng" algn="ctr">
            <a:solidFill>
              <a:schemeClr val="accent1">
                <a:lumMod val="6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1013584"/>
        <c:crosses val="autoZero"/>
        <c:auto val="1"/>
        <c:lblAlgn val="ctr"/>
        <c:lblOffset val="100"/>
        <c:noMultiLvlLbl val="0"/>
      </c:catAx>
      <c:valAx>
        <c:axId val="-4101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1016848"/>
        <c:crosses val="autoZero"/>
        <c:crossBetween val="between"/>
      </c:valAx>
      <c:dTable>
        <c:showHorzBorder val="1"/>
        <c:showVertBorder val="1"/>
        <c:showOutline val="1"/>
        <c:showKeys val="1"/>
      </c:dTable>
      <c:spPr>
        <a:noFill/>
        <a:ln>
          <a:solidFill>
            <a:schemeClr val="accent1">
              <a:lumMod val="6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accent1">
          <a:lumMod val="60000"/>
        </a:schemeClr>
      </a:solidFill>
      <a:round/>
    </a:ln>
    <a:effectLst/>
  </c:spPr>
  <c:txPr>
    <a:bodyPr/>
    <a:lstStyle/>
    <a:p>
      <a:pPr>
        <a:defRPr/>
      </a:pPr>
      <a:endParaRPr lang="en-PK"/>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GPA BELL CURVE</a:t>
            </a:r>
          </a:p>
        </c:rich>
      </c:tx>
      <c:overlay val="0"/>
      <c:spPr>
        <a:noFill/>
        <a:ln>
          <a:noFill/>
        </a:ln>
        <a:effectLst/>
      </c:spPr>
    </c:title>
    <c:autoTitleDeleted val="0"/>
    <c:plotArea>
      <c:layout/>
      <c:barChart>
        <c:barDir val="col"/>
        <c:grouping val="clustered"/>
        <c:varyColors val="0"/>
        <c:ser>
          <c:idx val="2"/>
          <c:order val="0"/>
          <c:spPr>
            <a:solidFill>
              <a:schemeClr val="accent1"/>
            </a:solidFill>
            <a:ln w="22225">
              <a:solidFill>
                <a:schemeClr val="accent2"/>
              </a:solidFill>
              <a:bevel/>
            </a:ln>
            <a:effectLst>
              <a:outerShdw blurRad="63500" sx="102000" sy="102000" algn="ctr" rotWithShape="0">
                <a:schemeClr val="accent4">
                  <a:lumMod val="50000"/>
                  <a:alpha val="40000"/>
                </a:schemeClr>
              </a:outerShdw>
            </a:effectLst>
          </c:spPr>
          <c:invertIfNegative val="0"/>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RCharts!$BU$4:$BU$40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5B8C-4A22-854F-41AC37AB63C3}"/>
            </c:ext>
          </c:extLst>
        </c:ser>
        <c:ser>
          <c:idx val="3"/>
          <c:order val="1"/>
          <c:spPr>
            <a:ln w="28575" cap="rnd">
              <a:solidFill>
                <a:schemeClr val="accent1"/>
              </a:solidFill>
              <a:round/>
            </a:ln>
            <a:effectLst/>
          </c:spPr>
          <c:invertIfNegative val="0"/>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RCharts!$BW$4:$BW$40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5B8C-4A22-854F-41AC37AB63C3}"/>
            </c:ext>
          </c:extLst>
        </c:ser>
        <c:ser>
          <c:idx val="1"/>
          <c:order val="2"/>
          <c:spPr>
            <a:solidFill>
              <a:srgbClr val="FFFF00"/>
            </a:solidFill>
            <a:ln w="101600">
              <a:solidFill>
                <a:srgbClr val="FFC000"/>
              </a:solidFill>
              <a:bevel/>
            </a:ln>
            <a:effectLst>
              <a:outerShdw blurRad="63500" sx="102000" sy="102000" algn="ctr" rotWithShape="0">
                <a:schemeClr val="accent4">
                  <a:lumMod val="50000"/>
                  <a:alpha val="40000"/>
                </a:schemeClr>
              </a:outerShdw>
            </a:effectLst>
          </c:spPr>
          <c:invertIfNegative val="0"/>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RCharts!$BU$4:$BU$40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2-5B8C-4A22-854F-41AC37AB63C3}"/>
            </c:ext>
          </c:extLst>
        </c:ser>
        <c:ser>
          <c:idx val="0"/>
          <c:order val="3"/>
          <c:spPr>
            <a:ln w="19050" cap="rnd">
              <a:solidFill>
                <a:schemeClr val="accent1"/>
              </a:solidFill>
              <a:round/>
            </a:ln>
            <a:effectLst/>
          </c:spPr>
          <c:invertIfNegative val="0"/>
          <c:dPt>
            <c:idx val="29"/>
            <c:invertIfNegative val="0"/>
            <c:bubble3D val="0"/>
            <c:spPr>
              <a:solidFill>
                <a:srgbClr val="FFFF00"/>
              </a:solidFill>
              <a:ln w="19050" cap="rnd">
                <a:solidFill>
                  <a:schemeClr val="tx1"/>
                </a:solidFill>
                <a:round/>
              </a:ln>
              <a:effectLst/>
            </c:spPr>
            <c:extLst>
              <c:ext xmlns:c16="http://schemas.microsoft.com/office/drawing/2014/chart" uri="{C3380CC4-5D6E-409C-BE32-E72D297353CC}">
                <c16:uniqueId val="{0000001B-6A19-4517-9A1A-5C844D0BCC29}"/>
              </c:ext>
            </c:extLst>
          </c:dPt>
          <c:dLbls>
            <c:dLbl>
              <c:idx val="0"/>
              <c:tx>
                <c:rich>
                  <a:bodyPr/>
                  <a:lstStyle/>
                  <a:p>
                    <a:fld id="{91575827-75F1-4DF5-8FA5-C23EB43A3F0B}" type="CELLRANGE">
                      <a:rPr lang="en-US"/>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B8C-4A22-854F-41AC37AB63C3}"/>
                </c:ext>
              </c:extLst>
            </c:dLbl>
            <c:dLbl>
              <c:idx val="1"/>
              <c:tx>
                <c:rich>
                  <a:bodyPr/>
                  <a:lstStyle/>
                  <a:p>
                    <a:fld id="{504D29B8-30F9-4D51-966B-6CD016EFDF44}"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A19-4517-9A1A-5C844D0BCC29}"/>
                </c:ext>
              </c:extLst>
            </c:dLbl>
            <c:dLbl>
              <c:idx val="2"/>
              <c:tx>
                <c:rich>
                  <a:bodyPr/>
                  <a:lstStyle/>
                  <a:p>
                    <a:fld id="{D84E5F0C-2B24-4BDD-9B2E-3CEA24B7F20C}"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A19-4517-9A1A-5C844D0BCC29}"/>
                </c:ext>
              </c:extLst>
            </c:dLbl>
            <c:dLbl>
              <c:idx val="3"/>
              <c:tx>
                <c:rich>
                  <a:bodyPr/>
                  <a:lstStyle/>
                  <a:p>
                    <a:fld id="{FFA80218-AFE8-4CA5-B833-617E6868864B}"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A19-4517-9A1A-5C844D0BCC29}"/>
                </c:ext>
              </c:extLst>
            </c:dLbl>
            <c:dLbl>
              <c:idx val="4"/>
              <c:tx>
                <c:rich>
                  <a:bodyPr/>
                  <a:lstStyle/>
                  <a:p>
                    <a:fld id="{2199E1C3-A23D-4481-8FCB-3CBF1CF540C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A19-4517-9A1A-5C844D0BCC29}"/>
                </c:ext>
              </c:extLst>
            </c:dLbl>
            <c:dLbl>
              <c:idx val="5"/>
              <c:tx>
                <c:rich>
                  <a:bodyPr/>
                  <a:lstStyle/>
                  <a:p>
                    <a:fld id="{A4EC6A04-3EBF-472E-9744-641FFF52EBD4}"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A19-4517-9A1A-5C844D0BCC29}"/>
                </c:ext>
              </c:extLst>
            </c:dLbl>
            <c:dLbl>
              <c:idx val="6"/>
              <c:tx>
                <c:rich>
                  <a:bodyPr/>
                  <a:lstStyle/>
                  <a:p>
                    <a:fld id="{DBC2B34F-CF62-4E1C-B029-F3B0A1EE1751}"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A19-4517-9A1A-5C844D0BCC29}"/>
                </c:ext>
              </c:extLst>
            </c:dLbl>
            <c:dLbl>
              <c:idx val="7"/>
              <c:tx>
                <c:rich>
                  <a:bodyPr/>
                  <a:lstStyle/>
                  <a:p>
                    <a:fld id="{990A2055-F351-4986-AE13-BC123E1CD96A}"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A19-4517-9A1A-5C844D0BCC29}"/>
                </c:ext>
              </c:extLst>
            </c:dLbl>
            <c:dLbl>
              <c:idx val="8"/>
              <c:tx>
                <c:rich>
                  <a:bodyPr/>
                  <a:lstStyle/>
                  <a:p>
                    <a:fld id="{B8A5B081-FF24-48D2-8EAD-69B6BFCFC83E}"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A19-4517-9A1A-5C844D0BCC29}"/>
                </c:ext>
              </c:extLst>
            </c:dLbl>
            <c:dLbl>
              <c:idx val="9"/>
              <c:tx>
                <c:rich>
                  <a:bodyPr/>
                  <a:lstStyle/>
                  <a:p>
                    <a:fld id="{1552CD16-C590-4626-89E0-0FE19AD88F3C}"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A19-4517-9A1A-5C844D0BCC29}"/>
                </c:ext>
              </c:extLst>
            </c:dLbl>
            <c:dLbl>
              <c:idx val="10"/>
              <c:tx>
                <c:rich>
                  <a:bodyPr/>
                  <a:lstStyle/>
                  <a:p>
                    <a:fld id="{67AAF2CC-6041-4551-AA8D-5074F0DF5F92}"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A19-4517-9A1A-5C844D0BCC29}"/>
                </c:ext>
              </c:extLst>
            </c:dLbl>
            <c:dLbl>
              <c:idx val="11"/>
              <c:tx>
                <c:rich>
                  <a:bodyPr/>
                  <a:lstStyle/>
                  <a:p>
                    <a:fld id="{BE8BCA00-8B6E-44AE-97AB-EFB2B668E850}"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A19-4517-9A1A-5C844D0BCC29}"/>
                </c:ext>
              </c:extLst>
            </c:dLbl>
            <c:dLbl>
              <c:idx val="12"/>
              <c:tx>
                <c:rich>
                  <a:bodyPr/>
                  <a:lstStyle/>
                  <a:p>
                    <a:fld id="{BE65F288-5855-40D6-88D8-55A6CB2BD69C}"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A19-4517-9A1A-5C844D0BCC29}"/>
                </c:ext>
              </c:extLst>
            </c:dLbl>
            <c:dLbl>
              <c:idx val="13"/>
              <c:tx>
                <c:rich>
                  <a:bodyPr/>
                  <a:lstStyle/>
                  <a:p>
                    <a:fld id="{53EBF8E5-19BF-4316-8E1B-566196B83A4E}"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A19-4517-9A1A-5C844D0BCC29}"/>
                </c:ext>
              </c:extLst>
            </c:dLbl>
            <c:dLbl>
              <c:idx val="14"/>
              <c:tx>
                <c:rich>
                  <a:bodyPr/>
                  <a:lstStyle/>
                  <a:p>
                    <a:fld id="{30D8B59E-4662-4221-8531-E8318EAF97F0}"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A19-4517-9A1A-5C844D0BCC29}"/>
                </c:ext>
              </c:extLst>
            </c:dLbl>
            <c:dLbl>
              <c:idx val="15"/>
              <c:tx>
                <c:rich>
                  <a:bodyPr/>
                  <a:lstStyle/>
                  <a:p>
                    <a:fld id="{98284E79-35C2-4282-BDFF-9918450987E4}"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A19-4517-9A1A-5C844D0BCC29}"/>
                </c:ext>
              </c:extLst>
            </c:dLbl>
            <c:dLbl>
              <c:idx val="16"/>
              <c:layout>
                <c:manualLayout>
                  <c:x val="0.31112490472193011"/>
                  <c:y val="6.0874081062524565E-2"/>
                </c:manualLayout>
              </c:layout>
              <c:tx>
                <c:rich>
                  <a:bodyPr/>
                  <a:lstStyle/>
                  <a:p>
                    <a:fld id="{764F3923-C78E-40FA-93EE-115E98084521}" type="CELLRANGE">
                      <a:rPr lang="en-US"/>
                      <a:pPr/>
                      <a:t>[CELLRANGE]</a:t>
                    </a:fld>
                    <a:endParaRPr lang="en-PK"/>
                  </a:p>
                </c:rich>
              </c:tx>
              <c:showLegendKey val="0"/>
              <c:showVal val="0"/>
              <c:showCatName val="0"/>
              <c:showSerName val="0"/>
              <c:showPercent val="0"/>
              <c:showBubbleSize val="0"/>
              <c:extLst>
                <c:ext xmlns:c15="http://schemas.microsoft.com/office/drawing/2012/chart" uri="{CE6537A1-D6FC-4f65-9D91-7224C49458BB}">
                  <c15:layout>
                    <c:manualLayout>
                      <c:w val="0.28366032260909441"/>
                      <c:h val="0.10117692093840297"/>
                    </c:manualLayout>
                  </c15:layout>
                  <c15:dlblFieldTable/>
                  <c15:showDataLabelsRange val="1"/>
                </c:ext>
                <c:ext xmlns:c16="http://schemas.microsoft.com/office/drawing/2014/chart" uri="{C3380CC4-5D6E-409C-BE32-E72D297353CC}">
                  <c16:uniqueId val="{00000013-5B8C-4A22-854F-41AC37AB63C3}"/>
                </c:ext>
              </c:extLst>
            </c:dLbl>
            <c:dLbl>
              <c:idx val="17"/>
              <c:tx>
                <c:rich>
                  <a:bodyPr/>
                  <a:lstStyle/>
                  <a:p>
                    <a:fld id="{E9AC2D60-C093-4003-8006-878D7E359AB6}"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A19-4517-9A1A-5C844D0BCC29}"/>
                </c:ext>
              </c:extLst>
            </c:dLbl>
            <c:dLbl>
              <c:idx val="18"/>
              <c:tx>
                <c:rich>
                  <a:bodyPr/>
                  <a:lstStyle/>
                  <a:p>
                    <a:fld id="{83071F99-511D-4DE5-AAC1-7433AF564110}"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A19-4517-9A1A-5C844D0BCC29}"/>
                </c:ext>
              </c:extLst>
            </c:dLbl>
            <c:dLbl>
              <c:idx val="19"/>
              <c:tx>
                <c:rich>
                  <a:bodyPr/>
                  <a:lstStyle/>
                  <a:p>
                    <a:fld id="{6B01E23F-9E85-446E-A153-44F500740CD7}"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A19-4517-9A1A-5C844D0BCC29}"/>
                </c:ext>
              </c:extLst>
            </c:dLbl>
            <c:dLbl>
              <c:idx val="20"/>
              <c:tx>
                <c:rich>
                  <a:bodyPr/>
                  <a:lstStyle/>
                  <a:p>
                    <a:fld id="{75CBF887-2B24-436D-AF9F-6C68CDC71375}"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A19-4517-9A1A-5C844D0BCC29}"/>
                </c:ext>
              </c:extLst>
            </c:dLbl>
            <c:dLbl>
              <c:idx val="21"/>
              <c:tx>
                <c:rich>
                  <a:bodyPr/>
                  <a:lstStyle/>
                  <a:p>
                    <a:fld id="{98DCB9CF-EB8B-4A23-93B7-C7F4EB85570C}"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A19-4517-9A1A-5C844D0BCC29}"/>
                </c:ext>
              </c:extLst>
            </c:dLbl>
            <c:dLbl>
              <c:idx val="22"/>
              <c:tx>
                <c:rich>
                  <a:bodyPr/>
                  <a:lstStyle/>
                  <a:p>
                    <a:fld id="{EFB4293B-3384-4CA7-B526-0936757170B2}"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A19-4517-9A1A-5C844D0BCC29}"/>
                </c:ext>
              </c:extLst>
            </c:dLbl>
            <c:dLbl>
              <c:idx val="23"/>
              <c:tx>
                <c:rich>
                  <a:bodyPr/>
                  <a:lstStyle/>
                  <a:p>
                    <a:fld id="{1781B7F6-63CF-4404-8ECA-FC9A34EA5AE2}"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A19-4517-9A1A-5C844D0BCC29}"/>
                </c:ext>
              </c:extLst>
            </c:dLbl>
            <c:dLbl>
              <c:idx val="24"/>
              <c:tx>
                <c:rich>
                  <a:bodyPr/>
                  <a:lstStyle/>
                  <a:p>
                    <a:fld id="{69BE5377-3660-4BAE-9642-B5F04CE162F4}"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A19-4517-9A1A-5C844D0BCC29}"/>
                </c:ext>
              </c:extLst>
            </c:dLbl>
            <c:dLbl>
              <c:idx val="25"/>
              <c:tx>
                <c:rich>
                  <a:bodyPr/>
                  <a:lstStyle/>
                  <a:p>
                    <a:fld id="{52C99D4D-4C17-477F-8380-114770348C83}"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A19-4517-9A1A-5C844D0BCC29}"/>
                </c:ext>
              </c:extLst>
            </c:dLbl>
            <c:dLbl>
              <c:idx val="26"/>
              <c:tx>
                <c:rich>
                  <a:bodyPr/>
                  <a:lstStyle/>
                  <a:p>
                    <a:fld id="{E5D3BAF8-D3E5-46F8-9A01-0D59F84A73E1}"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A19-4517-9A1A-5C844D0BCC29}"/>
                </c:ext>
              </c:extLst>
            </c:dLbl>
            <c:dLbl>
              <c:idx val="27"/>
              <c:tx>
                <c:rich>
                  <a:bodyPr/>
                  <a:lstStyle/>
                  <a:p>
                    <a:fld id="{ABBB112E-507A-4C2C-BE8A-48B9005E1509}"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A19-4517-9A1A-5C844D0BCC29}"/>
                </c:ext>
              </c:extLst>
            </c:dLbl>
            <c:dLbl>
              <c:idx val="28"/>
              <c:tx>
                <c:rich>
                  <a:bodyPr/>
                  <a:lstStyle/>
                  <a:p>
                    <a:fld id="{78EAB10E-F4B3-46EC-9996-B19F2AFA610C}"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A19-4517-9A1A-5C844D0BCC29}"/>
                </c:ext>
              </c:extLst>
            </c:dLbl>
            <c:dLbl>
              <c:idx val="29"/>
              <c:tx>
                <c:rich>
                  <a:bodyPr/>
                  <a:lstStyle/>
                  <a:p>
                    <a:fld id="{D19CE938-7A95-48C3-BFC2-FDCF6EC8F1DC}"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A19-4517-9A1A-5C844D0BCC29}"/>
                </c:ext>
              </c:extLst>
            </c:dLbl>
            <c:dLbl>
              <c:idx val="30"/>
              <c:tx>
                <c:rich>
                  <a:bodyPr/>
                  <a:lstStyle/>
                  <a:p>
                    <a:fld id="{2E73A431-8D87-4E33-983A-CA09BE65D79A}"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A19-4517-9A1A-5C844D0BCC29}"/>
                </c:ext>
              </c:extLst>
            </c:dLbl>
            <c:dLbl>
              <c:idx val="31"/>
              <c:tx>
                <c:rich>
                  <a:bodyPr/>
                  <a:lstStyle/>
                  <a:p>
                    <a:fld id="{8B394F8D-CF5C-4F40-BA5F-4939A924D768}"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A19-4517-9A1A-5C844D0BCC29}"/>
                </c:ext>
              </c:extLst>
            </c:dLbl>
            <c:dLbl>
              <c:idx val="32"/>
              <c:tx>
                <c:rich>
                  <a:bodyPr/>
                  <a:lstStyle/>
                  <a:p>
                    <a:fld id="{41FCAA28-64E6-409F-BDEE-89B318397891}"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A19-4517-9A1A-5C844D0BCC29}"/>
                </c:ext>
              </c:extLst>
            </c:dLbl>
            <c:dLbl>
              <c:idx val="33"/>
              <c:tx>
                <c:rich>
                  <a:bodyPr/>
                  <a:lstStyle/>
                  <a:p>
                    <a:fld id="{58AC744E-D830-484A-8F69-F935CA2365E6}"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A19-4517-9A1A-5C844D0BCC29}"/>
                </c:ext>
              </c:extLst>
            </c:dLbl>
            <c:dLbl>
              <c:idx val="34"/>
              <c:tx>
                <c:rich>
                  <a:bodyPr/>
                  <a:lstStyle/>
                  <a:p>
                    <a:fld id="{06627CF4-C22E-45D6-BB1E-E79218AA2A34}"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A19-4517-9A1A-5C844D0BCC29}"/>
                </c:ext>
              </c:extLst>
            </c:dLbl>
            <c:dLbl>
              <c:idx val="35"/>
              <c:tx>
                <c:rich>
                  <a:bodyPr/>
                  <a:lstStyle/>
                  <a:p>
                    <a:fld id="{879F85B7-3891-4DA9-B50E-538630A17FF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A19-4517-9A1A-5C844D0BCC29}"/>
                </c:ext>
              </c:extLst>
            </c:dLbl>
            <c:dLbl>
              <c:idx val="36"/>
              <c:tx>
                <c:rich>
                  <a:bodyPr/>
                  <a:lstStyle/>
                  <a:p>
                    <a:fld id="{4551B5DF-92FB-401E-8130-CC7B6DF0E80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6A19-4517-9A1A-5C844D0BCC29}"/>
                </c:ext>
              </c:extLst>
            </c:dLbl>
            <c:spPr>
              <a:noFill/>
              <a:ln>
                <a:noFill/>
              </a:ln>
              <a:effectLst/>
            </c:spPr>
            <c:txPr>
              <a:bodyPr wrap="square" lIns="38100" tIns="19050" rIns="38100" bIns="19050" anchor="ctr">
                <a:spAutoFit/>
              </a:bodyPr>
              <a:lstStyle/>
              <a:p>
                <a:pPr>
                  <a:defRPr b="0" cap="none" spc="0">
                    <a:ln w="0"/>
                    <a:solidFill>
                      <a:schemeClr val="tx1"/>
                    </a:solidFill>
                    <a:effectLst>
                      <a:outerShdw blurRad="38100" dist="19050" dir="2700000" algn="tl" rotWithShape="0">
                        <a:schemeClr val="dk1">
                          <a:alpha val="40000"/>
                        </a:schemeClr>
                      </a:outerShdw>
                    </a:effectLst>
                  </a:defRPr>
                </a:pPr>
                <a:endParaRPr lang="en-P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RCharts!$BW$4:$BW$40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5="http://schemas.microsoft.com/office/drawing/2012/chart" uri="{02D57815-91ED-43cb-92C2-25804820EDAC}">
              <c15:datalabelsRange>
                <c15:f>RCharts!$BV$4:$BV$40</c15:f>
                <c15:dlblRangeCache>
                  <c:ptCount val="37"/>
                  <c:pt idx="1">
                    <c:v>#DIV/0!</c:v>
                  </c:pt>
                  <c:pt idx="2">
                    <c:v>#DIV/0!</c:v>
                  </c:pt>
                  <c:pt idx="3">
                    <c:v>#DIV/0!</c:v>
                  </c:pt>
                  <c:pt idx="4">
                    <c:v>#DIV/0!</c:v>
                  </c:pt>
                  <c:pt idx="5">
                    <c:v>#DIV/0!</c:v>
                  </c:pt>
                  <c:pt idx="6">
                    <c:v>#DIV/0!</c:v>
                  </c:pt>
                  <c:pt idx="7">
                    <c:v>#DIV/0!</c:v>
                  </c:pt>
                  <c:pt idx="8">
                    <c:v>#DIV/0!</c:v>
                  </c:pt>
                  <c:pt idx="9">
                    <c:v>#DIV/0!</c:v>
                  </c:pt>
                  <c:pt idx="10">
                    <c:v>#DIV/0!</c:v>
                  </c:pt>
                  <c:pt idx="11">
                    <c:v>#DIV/0!</c:v>
                  </c:pt>
                  <c:pt idx="12">
                    <c:v>#DIV/0!</c:v>
                  </c:pt>
                  <c:pt idx="13">
                    <c:v>#DIV/0!</c:v>
                  </c:pt>
                  <c:pt idx="14">
                    <c:v>#DIV/0!</c:v>
                  </c:pt>
                  <c:pt idx="15">
                    <c:v>#DIV/0!</c:v>
                  </c:pt>
                  <c:pt idx="16">
                    <c:v>#DIV/0!</c:v>
                  </c:pt>
                  <c:pt idx="17">
                    <c:v>#DIV/0!</c:v>
                  </c:pt>
                  <c:pt idx="18">
                    <c:v>#DIV/0!</c:v>
                  </c:pt>
                  <c:pt idx="19">
                    <c:v>#DIV/0!</c:v>
                  </c:pt>
                  <c:pt idx="20">
                    <c:v>#DIV/0!</c:v>
                  </c:pt>
                  <c:pt idx="21">
                    <c:v>#DIV/0!</c:v>
                  </c:pt>
                  <c:pt idx="22">
                    <c:v>#DIV/0!</c:v>
                  </c:pt>
                  <c:pt idx="23">
                    <c:v>#DIV/0!</c:v>
                  </c:pt>
                  <c:pt idx="24">
                    <c:v>#DIV/0!</c:v>
                  </c:pt>
                  <c:pt idx="25">
                    <c:v>#DIV/0!</c:v>
                  </c:pt>
                  <c:pt idx="26">
                    <c:v>#DIV/0!</c:v>
                  </c:pt>
                  <c:pt idx="27">
                    <c:v>#DIV/0!</c:v>
                  </c:pt>
                  <c:pt idx="28">
                    <c:v>#DIV/0!</c:v>
                  </c:pt>
                  <c:pt idx="29">
                    <c:v>#DIV/0!</c:v>
                  </c:pt>
                  <c:pt idx="30">
                    <c:v>#DIV/0!</c:v>
                  </c:pt>
                  <c:pt idx="31">
                    <c:v>#DIV/0!</c:v>
                  </c:pt>
                  <c:pt idx="32">
                    <c:v>#DIV/0!</c:v>
                  </c:pt>
                  <c:pt idx="33">
                    <c:v>#DIV/0!</c:v>
                  </c:pt>
                  <c:pt idx="34">
                    <c:v>#DIV/0!</c:v>
                  </c:pt>
                  <c:pt idx="35">
                    <c:v>#DIV/0!</c:v>
                  </c:pt>
                </c15:dlblRangeCache>
              </c15:datalabelsRange>
            </c:ext>
            <c:ext xmlns:c16="http://schemas.microsoft.com/office/drawing/2014/chart" uri="{C3380CC4-5D6E-409C-BE32-E72D297353CC}">
              <c16:uniqueId val="{00000028-5B8C-4A22-854F-41AC37AB63C3}"/>
            </c:ext>
          </c:extLst>
        </c:ser>
        <c:dLbls>
          <c:showLegendKey val="0"/>
          <c:showVal val="0"/>
          <c:showCatName val="0"/>
          <c:showSerName val="0"/>
          <c:showPercent val="0"/>
          <c:showBubbleSize val="0"/>
        </c:dLbls>
        <c:gapWidth val="150"/>
        <c:axId val="-41011408"/>
        <c:axId val="-41017392"/>
      </c:barChart>
      <c:catAx>
        <c:axId val="-41011408"/>
        <c:scaling>
          <c:orientation val="minMax"/>
        </c:scaling>
        <c:delete val="0"/>
        <c:axPos val="b"/>
        <c:title>
          <c:tx>
            <c:rich>
              <a:bodyPr/>
              <a:lstStyle/>
              <a:p>
                <a:pPr>
                  <a:defRPr/>
                </a:pPr>
                <a:r>
                  <a:rPr lang="en-US"/>
                  <a:t>GPA</a:t>
                </a:r>
              </a:p>
            </c:rich>
          </c:tx>
          <c:overlay val="0"/>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PK"/>
          </a:p>
        </c:txPr>
        <c:crossAx val="-41017392"/>
        <c:crosses val="autoZero"/>
        <c:auto val="1"/>
        <c:lblAlgn val="ctr"/>
        <c:lblOffset val="100"/>
        <c:noMultiLvlLbl val="0"/>
      </c:catAx>
      <c:valAx>
        <c:axId val="-41017392"/>
        <c:scaling>
          <c:orientation val="minMax"/>
        </c:scaling>
        <c:delete val="0"/>
        <c:axPos val="l"/>
        <c:title>
          <c:tx>
            <c:rich>
              <a:bodyPr/>
              <a:lstStyle/>
              <a:p>
                <a:pPr>
                  <a:defRPr/>
                </a:pPr>
                <a:r>
                  <a:rPr lang="en-US"/>
                  <a:t>Nos of students (avg)</a:t>
                </a:r>
              </a:p>
            </c:rich>
          </c:tx>
          <c:overlay val="0"/>
        </c:title>
        <c:numFmt formatCode="General" sourceLinked="1"/>
        <c:majorTickMark val="none"/>
        <c:minorTickMark val="none"/>
        <c:tickLblPos val="nextTo"/>
        <c:spPr>
          <a:noFill/>
          <a:ln>
            <a:noFill/>
          </a:ln>
          <a:effectLst/>
        </c:spPr>
        <c:txPr>
          <a:bodyPr rot="-60000000" vert="horz"/>
          <a:lstStyle/>
          <a:p>
            <a:pPr>
              <a:defRPr/>
            </a:pPr>
            <a:endParaRPr lang="en-PK"/>
          </a:p>
        </c:txPr>
        <c:crossAx val="-41011408"/>
        <c:crosses val="autoZero"/>
        <c:crossBetween val="between"/>
      </c:valAx>
      <c:spPr>
        <a:solidFill>
          <a:schemeClr val="bg1">
            <a:lumMod val="95000"/>
          </a:schemeClr>
        </a:solidFill>
        <a:ln>
          <a:solidFill>
            <a:schemeClr val="accent1">
              <a:lumMod val="50000"/>
            </a:schemeClr>
          </a:solidFill>
        </a:ln>
      </c:spPr>
    </c:plotArea>
    <c:plotVisOnly val="1"/>
    <c:dispBlanksAs val="gap"/>
    <c:showDLblsOverMax val="0"/>
    <c:extLst/>
  </c:chart>
  <c:spPr>
    <a:solidFill>
      <a:schemeClr val="bg1">
        <a:lumMod val="95000"/>
      </a:schemeClr>
    </a:solidFill>
    <a:ln>
      <a:solidFill>
        <a:schemeClr val="accent1">
          <a:lumMod val="50000"/>
        </a:schemeClr>
      </a:solidFill>
    </a:ln>
  </c:spPr>
  <c:txPr>
    <a:bodyPr/>
    <a:lstStyle/>
    <a:p>
      <a:pPr>
        <a:defRPr>
          <a:solidFill>
            <a:schemeClr val="bg1">
              <a:lumMod val="50000"/>
            </a:schemeClr>
          </a:solidFill>
          <a:latin typeface="+mn-lt"/>
          <a:cs typeface="Arial" panose="020B0604020202020204" pitchFamily="34" charset="0"/>
        </a:defRPr>
      </a:pPr>
      <a:endParaRPr lang="en-P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bg1">
                    <a:lumMod val="50000"/>
                  </a:schemeClr>
                </a:solidFill>
              </a:rPr>
              <a:t>Number of Students per GPA/GRADE</a:t>
            </a:r>
          </a:p>
        </c:rich>
      </c:tx>
      <c:layout>
        <c:manualLayout>
          <c:xMode val="edge"/>
          <c:yMode val="edge"/>
          <c:x val="0.11059972105997209"/>
          <c:y val="2.555910543130990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PK"/>
        </a:p>
      </c:txPr>
    </c:title>
    <c:autoTitleDeleted val="0"/>
    <c:plotArea>
      <c:layout/>
      <c:barChart>
        <c:barDir val="col"/>
        <c:grouping val="clustered"/>
        <c:varyColors val="0"/>
        <c:ser>
          <c:idx val="0"/>
          <c:order val="0"/>
          <c:tx>
            <c:strRef>
              <c:f>RCharts!$BY$3</c:f>
              <c:strCache>
                <c:ptCount val="1"/>
                <c:pt idx="0">
                  <c:v>Number</c:v>
                </c:pt>
              </c:strCache>
            </c:strRef>
          </c:tx>
          <c:spPr>
            <a:solidFill>
              <a:schemeClr val="accent1"/>
            </a:solidFill>
            <a:ln w="9525" cap="flat" cmpd="sng" algn="ctr">
              <a:solidFill>
                <a:schemeClr val="lt1">
                  <a:alpha val="50000"/>
                </a:schemeClr>
              </a:solidFill>
              <a:round/>
            </a:ln>
            <a:effectLst/>
          </c:spPr>
          <c:invertIfNegative val="0"/>
          <c:dLbls>
            <c:spPr>
              <a:noFill/>
              <a:ln>
                <a:noFill/>
              </a:ln>
              <a:effectLst/>
            </c:spPr>
            <c:txPr>
              <a:bodyPr rot="0" spcFirstLastPara="1" vertOverflow="clip" horzOverflow="clip" vert="horz" wrap="square" lIns="38100" tIns="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dk1">
                          <a:lumMod val="50000"/>
                          <a:lumOff val="50000"/>
                        </a:schemeClr>
                      </a:solidFill>
                    </a:ln>
                    <a:effectLst/>
                  </c:spPr>
                </c15:leaderLines>
              </c:ext>
            </c:extLst>
          </c:dLbls>
          <c:cat>
            <c:strRef>
              <c:f>RCharts!$BX$4:$BX$17</c:f>
              <c:strCache>
                <c:ptCount val="14"/>
                <c:pt idx="0">
                  <c:v>A</c:v>
                </c:pt>
                <c:pt idx="1">
                  <c:v>A-</c:v>
                </c:pt>
                <c:pt idx="2">
                  <c:v>B+</c:v>
                </c:pt>
                <c:pt idx="3">
                  <c:v>B</c:v>
                </c:pt>
                <c:pt idx="4">
                  <c:v>B-</c:v>
                </c:pt>
                <c:pt idx="5">
                  <c:v>C+</c:v>
                </c:pt>
                <c:pt idx="6">
                  <c:v>C</c:v>
                </c:pt>
                <c:pt idx="7">
                  <c:v>C-</c:v>
                </c:pt>
                <c:pt idx="8">
                  <c:v>D+</c:v>
                </c:pt>
                <c:pt idx="9">
                  <c:v>D</c:v>
                </c:pt>
                <c:pt idx="10">
                  <c:v>F</c:v>
                </c:pt>
                <c:pt idx="11">
                  <c:v>W</c:v>
                </c:pt>
                <c:pt idx="12">
                  <c:v>I</c:v>
                </c:pt>
                <c:pt idx="13">
                  <c:v>Perm-Absent</c:v>
                </c:pt>
              </c:strCache>
            </c:strRef>
          </c:cat>
          <c:val>
            <c:numRef>
              <c:f>RCharts!$BY$4:$BY$17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E61-47A2-86AF-ADD5C5243357}"/>
            </c:ext>
          </c:extLst>
        </c:ser>
        <c:dLbls>
          <c:dLblPos val="inEnd"/>
          <c:showLegendKey val="0"/>
          <c:showVal val="1"/>
          <c:showCatName val="0"/>
          <c:showSerName val="0"/>
          <c:showPercent val="0"/>
          <c:showBubbleSize val="0"/>
        </c:dLbls>
        <c:gapWidth val="65"/>
        <c:axId val="-41014672"/>
        <c:axId val="-41014128"/>
      </c:barChart>
      <c:catAx>
        <c:axId val="-4101467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mn-lt"/>
                <a:ea typeface="+mn-ea"/>
                <a:cs typeface="+mn-cs"/>
              </a:defRPr>
            </a:pPr>
            <a:endParaRPr lang="en-PK"/>
          </a:p>
        </c:txPr>
        <c:crossAx val="-41014128"/>
        <c:crosses val="autoZero"/>
        <c:auto val="1"/>
        <c:lblAlgn val="ctr"/>
        <c:lblOffset val="100"/>
        <c:noMultiLvlLbl val="0"/>
      </c:catAx>
      <c:valAx>
        <c:axId val="-410141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1014672"/>
        <c:crosses val="autoZero"/>
        <c:crossBetween val="between"/>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P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251460</xdr:colOff>
          <xdr:row>0</xdr:row>
          <xdr:rowOff>0</xdr:rowOff>
        </xdr:from>
        <xdr:to>
          <xdr:col>15</xdr:col>
          <xdr:colOff>7620</xdr:colOff>
          <xdr:row>2</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K" sz="1200" b="1" i="0" u="none" strike="noStrike" baseline="0">
                  <a:solidFill>
                    <a:srgbClr val="993300"/>
                  </a:solidFill>
                  <a:latin typeface="Arial Narrow"/>
                </a:rPr>
                <a:t>Generate OBE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30480</xdr:rowOff>
        </xdr:from>
        <xdr:to>
          <xdr:col>5</xdr:col>
          <xdr:colOff>655320</xdr:colOff>
          <xdr:row>5</xdr:row>
          <xdr:rowOff>152400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K" sz="1100" b="0" i="0" u="none" strike="noStrike" baseline="0">
                  <a:solidFill>
                    <a:srgbClr val="993300"/>
                  </a:solidFill>
                  <a:latin typeface="Arial Narrow"/>
                </a:rPr>
                <a:t>Load </a:t>
              </a:r>
              <a:r>
                <a:rPr lang="en-PK" sz="1100" b="1" i="0" u="none" strike="noStrike" baseline="0">
                  <a:solidFill>
                    <a:srgbClr val="993300"/>
                  </a:solidFill>
                  <a:latin typeface="Arial Narrow"/>
                </a:rPr>
                <a:t>FRESH</a:t>
              </a:r>
              <a:r>
                <a:rPr lang="en-PK" sz="1100" b="0" i="0" u="none" strike="noStrike" baseline="0">
                  <a:solidFill>
                    <a:srgbClr val="993300"/>
                  </a:solidFill>
                  <a:latin typeface="Arial Narrow"/>
                </a:rPr>
                <a:t> Data from Coordinator's Office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731520</xdr:colOff>
          <xdr:row>20</xdr:row>
          <xdr:rowOff>106680</xdr:rowOff>
        </xdr:from>
        <xdr:to>
          <xdr:col>2</xdr:col>
          <xdr:colOff>2316480</xdr:colOff>
          <xdr:row>21</xdr:row>
          <xdr:rowOff>152400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K" sz="1100" b="0" i="0" u="none" strike="noStrike" baseline="0">
                  <a:solidFill>
                    <a:srgbClr val="993300"/>
                  </a:solidFill>
                  <a:latin typeface="Arial"/>
                  <a:cs typeface="Arial"/>
                </a:rPr>
                <a:t>Load Fresh Corrective Measures</a:t>
              </a:r>
            </a:p>
          </xdr:txBody>
        </xdr:sp>
        <xdr:clientData fPrintsWithSheet="0"/>
      </xdr:twoCellAnchor>
    </mc:Choice>
    <mc:Fallback/>
  </mc:AlternateContent>
  <xdr:twoCellAnchor editAs="oneCell">
    <xdr:from>
      <xdr:col>1</xdr:col>
      <xdr:colOff>0</xdr:colOff>
      <xdr:row>0</xdr:row>
      <xdr:rowOff>53341</xdr:rowOff>
    </xdr:from>
    <xdr:to>
      <xdr:col>1</xdr:col>
      <xdr:colOff>403860</xdr:colOff>
      <xdr:row>1</xdr:row>
      <xdr:rowOff>167641</xdr:rowOff>
    </xdr:to>
    <xdr:pic>
      <xdr:nvPicPr>
        <xdr:cNvPr id="7" name="Picture 6" descr="Image result for logo uetpeshawar">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 y="53341"/>
          <a:ext cx="40386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320040</xdr:colOff>
      <xdr:row>0</xdr:row>
      <xdr:rowOff>129540</xdr:rowOff>
    </xdr:from>
    <xdr:to>
      <xdr:col>2</xdr:col>
      <xdr:colOff>229198</xdr:colOff>
      <xdr:row>4</xdr:row>
      <xdr:rowOff>99060</xdr:rowOff>
    </xdr:to>
    <xdr:pic>
      <xdr:nvPicPr>
        <xdr:cNvPr id="2" name="Picture 1" descr="Image result for logo uetpeshawar">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0040" y="129540"/>
          <a:ext cx="823558" cy="792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1276343</xdr:colOff>
      <xdr:row>5</xdr:row>
      <xdr:rowOff>95249</xdr:rowOff>
    </xdr:from>
    <xdr:ext cx="2347246" cy="376706"/>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8091481" y="1114424"/>
              <a:ext cx="2347246" cy="376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1" i="1">
                        <a:latin typeface="Cambria Math" panose="02040503050406030204" pitchFamily="18" charset="0"/>
                      </a:rPr>
                      <m:t>𝒏𝒆𝒘𝑪𝑳𝑶</m:t>
                    </m:r>
                    <m:r>
                      <a:rPr lang="en-US" sz="1100" b="1" i="1">
                        <a:latin typeface="Cambria Math" panose="02040503050406030204" pitchFamily="18" charset="0"/>
                      </a:rPr>
                      <m:t>%=</m:t>
                    </m:r>
                    <m:r>
                      <a:rPr lang="en-US" sz="1100" b="1" i="1">
                        <a:latin typeface="Cambria Math" panose="02040503050406030204" pitchFamily="18" charset="0"/>
                      </a:rPr>
                      <m:t>𝒎𝒂𝒙</m:t>
                    </m:r>
                    <m:d>
                      <m:dPr>
                        <m:begChr m:val="["/>
                        <m:endChr m:val="]"/>
                        <m:ctrlPr>
                          <a:rPr lang="en-US" sz="1100" b="1" i="1">
                            <a:latin typeface="Cambria Math" panose="02040503050406030204" pitchFamily="18" charset="0"/>
                          </a:rPr>
                        </m:ctrlPr>
                      </m:dPr>
                      <m:e>
                        <m:m>
                          <m:mPr>
                            <m:mcs>
                              <m:mc>
                                <m:mcPr>
                                  <m:count m:val="1"/>
                                  <m:mcJc m:val="center"/>
                                </m:mcPr>
                              </m:mc>
                            </m:mcs>
                            <m:ctrlPr>
                              <a:rPr lang="en-US" sz="1100" b="1" i="1">
                                <a:solidFill>
                                  <a:schemeClr val="tx1"/>
                                </a:solidFill>
                                <a:effectLst/>
                                <a:latin typeface="Cambria Math" panose="02040503050406030204" pitchFamily="18" charset="0"/>
                                <a:ea typeface="+mn-ea"/>
                                <a:cs typeface="+mn-cs"/>
                              </a:rPr>
                            </m:ctrlPr>
                          </m:mPr>
                          <m:mr>
                            <m:e>
                              <m:r>
                                <m:rPr>
                                  <m:brk m:alnAt="7"/>
                                </m:rPr>
                                <a:rPr lang="en-US" sz="1100" b="1" i="1">
                                  <a:solidFill>
                                    <a:srgbClr val="FF0000"/>
                                  </a:solidFill>
                                  <a:effectLst/>
                                  <a:latin typeface="Cambria Math" panose="02040503050406030204" pitchFamily="18" charset="0"/>
                                  <a:ea typeface="+mn-ea"/>
                                  <a:cs typeface="+mn-cs"/>
                                </a:rPr>
                                <m:t>𝒐</m:t>
                              </m:r>
                              <m:r>
                                <a:rPr lang="en-US" sz="1100" b="1" i="1">
                                  <a:solidFill>
                                    <a:srgbClr val="FF0000"/>
                                  </a:solidFill>
                                  <a:effectLst/>
                                  <a:latin typeface="Cambria Math" panose="02040503050406030204" pitchFamily="18" charset="0"/>
                                  <a:ea typeface="+mn-ea"/>
                                  <a:cs typeface="+mn-cs"/>
                                </a:rPr>
                                <m:t>𝒍𝒅𝑪𝑳𝑶</m:t>
                              </m:r>
                              <m:r>
                                <a:rPr lang="en-US" sz="1100" b="1" i="1">
                                  <a:solidFill>
                                    <a:srgbClr val="FF0000"/>
                                  </a:solidFill>
                                  <a:effectLst/>
                                  <a:latin typeface="Cambria Math" panose="02040503050406030204" pitchFamily="18" charset="0"/>
                                  <a:ea typeface="+mn-ea"/>
                                  <a:cs typeface="+mn-cs"/>
                                </a:rPr>
                                <m:t>%,</m:t>
                              </m:r>
                            </m:e>
                          </m:mr>
                          <m:mr>
                            <m:e>
                              <m:box>
                                <m:boxPr>
                                  <m:ctrlPr>
                                    <a:rPr lang="en-US" sz="1100" b="1" i="1">
                                      <a:solidFill>
                                        <a:schemeClr val="tx1"/>
                                      </a:solidFill>
                                      <a:effectLst/>
                                      <a:latin typeface="Cambria Math" panose="02040503050406030204" pitchFamily="18" charset="0"/>
                                      <a:ea typeface="+mn-ea"/>
                                      <a:cs typeface="+mn-cs"/>
                                    </a:rPr>
                                  </m:ctrlPr>
                                </m:boxPr>
                                <m:e>
                                  <m:argPr>
                                    <m:argSz m:val="-1"/>
                                  </m:argPr>
                                  <m:f>
                                    <m:fPr>
                                      <m:ctrlPr>
                                        <a:rPr lang="en-US" sz="1100" b="1" i="1">
                                          <a:solidFill>
                                            <a:srgbClr val="00B050"/>
                                          </a:solidFill>
                                          <a:effectLst/>
                                          <a:latin typeface="Cambria Math" panose="02040503050406030204" pitchFamily="18" charset="0"/>
                                          <a:ea typeface="+mn-ea"/>
                                          <a:cs typeface="+mn-cs"/>
                                        </a:rPr>
                                      </m:ctrlPr>
                                    </m:fPr>
                                    <m:num>
                                      <m:r>
                                        <a:rPr lang="en-US" sz="1100" b="1" i="1">
                                          <a:solidFill>
                                            <a:srgbClr val="00B050"/>
                                          </a:solidFill>
                                          <a:effectLst/>
                                          <a:latin typeface="Cambria Math" panose="02040503050406030204" pitchFamily="18" charset="0"/>
                                          <a:ea typeface="+mn-ea"/>
                                          <a:cs typeface="+mn-cs"/>
                                        </a:rPr>
                                        <m:t>𝒐𝒍𝒅𝑪𝑳𝑶</m:t>
                                      </m:r>
                                      <m:r>
                                        <a:rPr lang="en-US" sz="1100" b="1" i="1">
                                          <a:solidFill>
                                            <a:srgbClr val="00B050"/>
                                          </a:solidFill>
                                          <a:effectLst/>
                                          <a:latin typeface="Cambria Math" panose="02040503050406030204" pitchFamily="18" charset="0"/>
                                          <a:ea typeface="+mn-ea"/>
                                          <a:cs typeface="+mn-cs"/>
                                        </a:rPr>
                                        <m:t>%+</m:t>
                                      </m:r>
                                      <m:r>
                                        <a:rPr lang="en-US" sz="1100" b="1" i="1">
                                          <a:solidFill>
                                            <a:srgbClr val="00B050"/>
                                          </a:solidFill>
                                          <a:effectLst/>
                                          <a:latin typeface="Cambria Math" panose="02040503050406030204" pitchFamily="18" charset="0"/>
                                          <a:ea typeface="+mn-ea"/>
                                          <a:cs typeface="+mn-cs"/>
                                        </a:rPr>
                                        <m:t>𝑪𝑨𝑹𝑪𝑳𝑶</m:t>
                                      </m:r>
                                      <m:r>
                                        <a:rPr lang="en-US" sz="1100" b="1" i="1">
                                          <a:solidFill>
                                            <a:srgbClr val="00B050"/>
                                          </a:solidFill>
                                          <a:effectLst/>
                                          <a:latin typeface="Cambria Math" panose="02040503050406030204" pitchFamily="18" charset="0"/>
                                          <a:ea typeface="+mn-ea"/>
                                          <a:cs typeface="+mn-cs"/>
                                        </a:rPr>
                                        <m:t>%</m:t>
                                      </m:r>
                                    </m:num>
                                    <m:den>
                                      <m:r>
                                        <a:rPr lang="en-US" sz="1100" b="1" i="1">
                                          <a:solidFill>
                                            <a:srgbClr val="00B050"/>
                                          </a:solidFill>
                                          <a:effectLst/>
                                          <a:latin typeface="Cambria Math" panose="02040503050406030204" pitchFamily="18" charset="0"/>
                                          <a:ea typeface="+mn-ea"/>
                                          <a:cs typeface="+mn-cs"/>
                                        </a:rPr>
                                        <m:t>𝟐</m:t>
                                      </m:r>
                                    </m:den>
                                  </m:f>
                                </m:e>
                              </m:box>
                            </m:e>
                          </m:mr>
                        </m:m>
                      </m:e>
                    </m:d>
                  </m:oMath>
                </m:oMathPara>
              </a14:m>
              <a:endParaRPr lang="en-US" sz="1100" b="1"/>
            </a:p>
          </xdr:txBody>
        </xdr:sp>
      </mc:Choice>
      <mc:Fallback xmlns="">
        <xdr:sp macro="" textlink="">
          <xdr:nvSpPr>
            <xdr:cNvPr id="4" name="TextBox 3">
              <a:extLst>
                <a:ext uri="{FF2B5EF4-FFF2-40B4-BE49-F238E27FC236}">
                  <a16:creationId xmlns:a16="http://schemas.microsoft.com/office/drawing/2014/main" id="{1085B4B5-83C1-4BD2-B8BC-E10DEB2A07F0}"/>
                </a:ext>
              </a:extLst>
            </xdr:cNvPr>
            <xdr:cNvSpPr txBox="1"/>
          </xdr:nvSpPr>
          <xdr:spPr>
            <a:xfrm>
              <a:off x="8091481" y="1114424"/>
              <a:ext cx="2347246" cy="376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1" i="0">
                  <a:latin typeface="Cambria Math" panose="02040503050406030204" pitchFamily="18" charset="0"/>
                </a:rPr>
                <a:t>𝒏𝒆𝒘𝑪𝑳𝑶%=𝒎𝒂𝒙[</a:t>
              </a:r>
              <a:r>
                <a:rPr lang="en-US" sz="1100" b="1" i="0">
                  <a:solidFill>
                    <a:schemeClr val="tx1"/>
                  </a:solidFill>
                  <a:effectLst/>
                  <a:latin typeface="+mn-lt"/>
                  <a:ea typeface="+mn-ea"/>
                  <a:cs typeface="+mn-cs"/>
                </a:rPr>
                <a:t>■8(</a:t>
              </a:r>
              <a:r>
                <a:rPr lang="en-US" sz="1100" b="1" i="0">
                  <a:solidFill>
                    <a:srgbClr val="FF0000"/>
                  </a:solidFill>
                  <a:effectLst/>
                  <a:latin typeface="Cambria Math" panose="02040503050406030204" pitchFamily="18" charset="0"/>
                  <a:ea typeface="+mn-ea"/>
                  <a:cs typeface="+mn-cs"/>
                </a:rPr>
                <a:t>𝒐𝒍𝒅𝑪𝑳𝑶%,</a:t>
              </a:r>
              <a:r>
                <a:rPr lang="en-US" sz="1100" b="1" i="0">
                  <a:solidFill>
                    <a:schemeClr val="tx1"/>
                  </a:solidFill>
                  <a:effectLst/>
                  <a:latin typeface="+mn-lt"/>
                  <a:ea typeface="+mn-ea"/>
                  <a:cs typeface="+mn-cs"/>
                </a:rPr>
                <a:t>@</a:t>
              </a:r>
              <a:r>
                <a:rPr lang="en-US" sz="1100" b="1" i="0">
                  <a:solidFill>
                    <a:schemeClr val="tx1"/>
                  </a:solidFill>
                  <a:effectLst/>
                  <a:latin typeface="Cambria Math" panose="02040503050406030204" pitchFamily="18" charset="0"/>
                  <a:ea typeface="+mn-ea"/>
                  <a:cs typeface="+mn-cs"/>
                </a:rPr>
                <a:t>□(64&amp;</a:t>
              </a:r>
              <a:r>
                <a:rPr lang="en-US" sz="1100" b="1" i="0">
                  <a:solidFill>
                    <a:srgbClr val="00B050"/>
                  </a:solidFill>
                  <a:effectLst/>
                  <a:latin typeface="Cambria Math" panose="02040503050406030204" pitchFamily="18" charset="0"/>
                  <a:ea typeface="+mn-ea"/>
                  <a:cs typeface="+mn-cs"/>
                </a:rPr>
                <a:t>(𝒐𝒍𝒅𝑪𝑳𝑶%+𝑪𝑨𝑹𝑪𝑳𝑶%)/𝟐</a:t>
              </a:r>
              <a:r>
                <a:rPr lang="en-US" sz="1100" b="1" i="0">
                  <a:solidFill>
                    <a:schemeClr val="tx1"/>
                  </a:solidFill>
                  <a:effectLst/>
                  <a:latin typeface="Cambria Math" panose="02040503050406030204" pitchFamily="18" charset="0"/>
                  <a:ea typeface="+mn-ea"/>
                  <a:cs typeface="+mn-cs"/>
                </a:rPr>
                <a:t>)</a:t>
              </a:r>
              <a:r>
                <a:rPr lang="en-US" sz="1100" b="1" i="0">
                  <a:solidFill>
                    <a:schemeClr val="tx1"/>
                  </a:solidFill>
                  <a:effectLst/>
                  <a:latin typeface="+mn-lt"/>
                  <a:ea typeface="+mn-ea"/>
                  <a:cs typeface="+mn-cs"/>
                </a:rPr>
                <a:t>)</a:t>
              </a:r>
              <a:r>
                <a:rPr lang="en-US" sz="1100" b="1" i="0">
                  <a:solidFill>
                    <a:schemeClr val="tx1"/>
                  </a:solidFill>
                  <a:effectLst/>
                  <a:latin typeface="Cambria Math" panose="02040503050406030204" pitchFamily="18" charset="0"/>
                  <a:ea typeface="+mn-ea"/>
                  <a:cs typeface="+mn-cs"/>
                </a:rPr>
                <a:t>]</a:t>
              </a:r>
              <a:endParaRPr lang="en-US" sz="1100" b="1"/>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36</xdr:col>
      <xdr:colOff>19440</xdr:colOff>
      <xdr:row>6</xdr:row>
      <xdr:rowOff>45511</xdr:rowOff>
    </xdr:from>
    <xdr:to>
      <xdr:col>43</xdr:col>
      <xdr:colOff>612014</xdr:colOff>
      <xdr:row>23</xdr:row>
      <xdr:rowOff>83605</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190500</xdr:colOff>
      <xdr:row>42</xdr:row>
      <xdr:rowOff>93889</xdr:rowOff>
    </xdr:from>
    <xdr:to>
      <xdr:col>80</xdr:col>
      <xdr:colOff>133350</xdr:colOff>
      <xdr:row>64</xdr:row>
      <xdr:rowOff>65308</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16992</xdr:colOff>
      <xdr:row>23</xdr:row>
      <xdr:rowOff>135312</xdr:rowOff>
    </xdr:from>
    <xdr:to>
      <xdr:col>43</xdr:col>
      <xdr:colOff>609164</xdr:colOff>
      <xdr:row>39</xdr:row>
      <xdr:rowOff>85961</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46928</xdr:colOff>
      <xdr:row>40</xdr:row>
      <xdr:rowOff>4684</xdr:rowOff>
    </xdr:from>
    <xdr:to>
      <xdr:col>43</xdr:col>
      <xdr:colOff>609687</xdr:colOff>
      <xdr:row>55</xdr:row>
      <xdr:rowOff>128509</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36</xdr:col>
          <xdr:colOff>121920</xdr:colOff>
          <xdr:row>1</xdr:row>
          <xdr:rowOff>30480</xdr:rowOff>
        </xdr:from>
        <xdr:to>
          <xdr:col>40</xdr:col>
          <xdr:colOff>480060</xdr:colOff>
          <xdr:row>3</xdr:row>
          <xdr:rowOff>137160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K" sz="1100" b="0" i="0" u="none" strike="noStrike" baseline="0">
                  <a:solidFill>
                    <a:srgbClr val="000000"/>
                  </a:solidFill>
                  <a:latin typeface="Calibri"/>
                  <a:cs typeface="Calibri"/>
                </a:rPr>
                <a:t>Generate/Check CAR</a:t>
              </a:r>
            </a:p>
            <a:p>
              <a:pPr algn="ctr" rtl="0">
                <a:defRPr sz="1000"/>
              </a:pPr>
              <a:r>
                <a:rPr lang="en-PK" sz="1100" b="0" i="0" u="none" strike="noStrike" baseline="0">
                  <a:solidFill>
                    <a:srgbClr val="000000"/>
                  </a:solidFill>
                  <a:latin typeface="Calibri"/>
                  <a:cs typeface="Calibri"/>
                </a:rPr>
                <a:t> (Counselling Action Report)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31495EF-56EB-47C0-82A5-016F45FA9F84}"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300-000000000000}" autoFormatId="16" applyNumberFormats="0" applyBorderFormats="0" applyFontFormats="0" applyPatternFormats="0" applyAlignmentFormats="0" applyWidthHeightFormats="0">
  <queryTableRefresh nextId="19">
    <queryTableFields count="8">
      <queryTableField id="9" name="Couse Code" tableColumnId="1"/>
      <queryTableField id="10" name="CLO Code" tableColumnId="2"/>
      <queryTableField id="11" name="CLO" tableColumnId="3"/>
      <queryTableField id="12" name="PLO Code" tableColumnId="4"/>
      <queryTableField id="13" name="Learning Type" tableColumnId="5"/>
      <queryTableField id="14" name="Learning Type Level" tableColumnId="6"/>
      <queryTableField id="17" name="% Contribution Towards PLO" tableColumnId="7"/>
      <queryTableField id="16" name="Program Batch"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0400-000001000000}" autoFormatId="16" applyNumberFormats="0" applyBorderFormats="0" applyFontFormats="0" applyPatternFormats="0" applyAlignmentFormats="0" applyWidthHeightFormats="0">
  <queryTableRefresh nextId="217">
    <queryTableFields count="4">
      <queryTableField id="129" name="Registration Number" tableColumnId="129"/>
      <queryTableField id="130" name="Name" tableColumnId="130"/>
      <queryTableField id="198" name="Section" tableColumnId="2"/>
      <queryTableField id="216" name="CE-117"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500-000002000000}" autoFormatId="16" applyNumberFormats="0" applyBorderFormats="0" applyFontFormats="0" applyPatternFormats="0" applyAlignmentFormats="0" applyWidthHeightFormats="0">
  <queryTableRefresh nextId="3">
    <queryTableFields count="2">
      <queryTableField id="1" name="Batch" tableColumnId="1"/>
      <queryTableField id="2" name="gid"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600-000003000000}"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700-000004000000}" autoFormatId="16" applyNumberFormats="0" applyBorderFormats="0" applyFontFormats="0" applyPatternFormats="0" applyAlignmentFormats="0" applyWidthHeightFormats="0">
  <queryTableRefresh nextId="4">
    <queryTableFields count="3">
      <queryTableField id="1" name="Course" tableColumnId="1"/>
      <queryTableField id="2" name="Date" tableColumnId="2"/>
      <queryTableField id="3" name="Corrective Maesur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8B5A32-A2A1-4D46-97D7-E27293A7EA72}" name="chkVer" displayName="chkVer" ref="A1:C2" tableType="queryTable" totalsRowShown="0">
  <autoFilter ref="A1:C2" xr:uid="{B0A4B6BD-04CF-49AD-818F-95F79D4B8E0F}"/>
  <tableColumns count="3">
    <tableColumn id="1" xr3:uid="{D6BB182F-B71D-4607-B8AF-A4EDA9F2C56E}" uniqueName="1" name="Column1" queryTableFieldId="1" dataDxfId="2"/>
    <tableColumn id="2" xr3:uid="{FFAC09CF-B40C-4D9D-88B2-3B75CD968366}" uniqueName="2" name="Column2" queryTableFieldId="2" dataDxfId="1"/>
    <tableColumn id="3" xr3:uid="{4E5CE26A-92A4-4C6F-BC6A-D0BBBCD6C90E}" uniqueName="3" name="Column3" queryTableFieldId="3"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oadCLOs" displayName="LoadCLOs" ref="A1:H4" tableType="queryTable" totalsRowShown="0">
  <autoFilter ref="A1:H4" xr:uid="{00000000-0009-0000-0100-000001000000}"/>
  <tableColumns count="8">
    <tableColumn id="1" xr3:uid="{00000000-0010-0000-0000-000001000000}" uniqueName="1" name="Couse Code" queryTableFieldId="9" dataDxfId="29"/>
    <tableColumn id="2" xr3:uid="{00000000-0010-0000-0000-000002000000}" uniqueName="2" name="CLO Code" queryTableFieldId="10" dataDxfId="28"/>
    <tableColumn id="3" xr3:uid="{00000000-0010-0000-0000-000003000000}" uniqueName="3" name="CLO" queryTableFieldId="11" dataDxfId="27"/>
    <tableColumn id="4" xr3:uid="{00000000-0010-0000-0000-000004000000}" uniqueName="4" name="PLO Code" queryTableFieldId="12" dataDxfId="26"/>
    <tableColumn id="5" xr3:uid="{00000000-0010-0000-0000-000005000000}" uniqueName="5" name="Learning Type" queryTableFieldId="13" dataDxfId="25"/>
    <tableColumn id="6" xr3:uid="{00000000-0010-0000-0000-000006000000}" uniqueName="6" name="Learning Type Level" queryTableFieldId="14"/>
    <tableColumn id="7" xr3:uid="{5584E325-2D09-4FFE-BC23-301DEB1773AE}" uniqueName="7" name="% Contribution Towards PLO" queryTableFieldId="17"/>
    <tableColumn id="8" xr3:uid="{00000000-0010-0000-0000-000008000000}" uniqueName="8" name="Program Batch" queryTableFieldId="16" dataDxfId="2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LoadSectionStudents" displayName="LoadSectionStudents" ref="A1:D229" tableType="queryTable" totalsRowShown="0">
  <autoFilter ref="A1:D229" xr:uid="{00000000-0009-0000-0100-000005000000}"/>
  <tableColumns count="4">
    <tableColumn id="129" xr3:uid="{00000000-0010-0000-0100-000081000000}" uniqueName="129" name="Registration Number" queryTableFieldId="129" dataDxfId="23"/>
    <tableColumn id="130" xr3:uid="{00000000-0010-0000-0100-000082000000}" uniqueName="130" name="Name" queryTableFieldId="130" dataDxfId="22"/>
    <tableColumn id="2" xr3:uid="{00000000-0010-0000-0100-000002000000}" uniqueName="2" name="Section" queryTableFieldId="198" dataDxfId="21"/>
    <tableColumn id="1" xr3:uid="{34E797F1-C928-451E-B82F-606A5957DE2B}" uniqueName="1" name="CE-117" queryTableFieldId="216" dataDxfId="2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adBatches" displayName="LoadBatches" ref="A1:B22" tableType="queryTable" totalsRowShown="0">
  <autoFilter ref="A1:B22" xr:uid="{00000000-0009-0000-0100-000003000000}"/>
  <tableColumns count="2">
    <tableColumn id="1" xr3:uid="{00000000-0010-0000-0200-000001000000}" uniqueName="1" name="Batch" queryTableFieldId="1" dataDxfId="19"/>
    <tableColumn id="2" xr3:uid="{00000000-0010-0000-0200-000002000000}" uniqueName="2" name="g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oadFaculty" displayName="LoadFaculty" ref="A1:M111" tableType="queryTable" totalsRowShown="0">
  <autoFilter ref="A1:M111" xr:uid="{00000000-0009-0000-0100-000004000000}"/>
  <tableColumns count="13">
    <tableColumn id="1" xr3:uid="{00000000-0010-0000-0300-000001000000}" uniqueName="1" name="Column1" queryTableFieldId="1" dataDxfId="18"/>
    <tableColumn id="2" xr3:uid="{00000000-0010-0000-0300-000002000000}" uniqueName="2" name="Column2" queryTableFieldId="2" dataDxfId="17"/>
    <tableColumn id="3" xr3:uid="{00000000-0010-0000-0300-000003000000}" uniqueName="3" name="Column3" queryTableFieldId="3" dataDxfId="16"/>
    <tableColumn id="4" xr3:uid="{00000000-0010-0000-0300-000004000000}" uniqueName="4" name="Column4" queryTableFieldId="4" dataDxfId="15"/>
    <tableColumn id="5" xr3:uid="{00000000-0010-0000-0300-000005000000}" uniqueName="5" name="Column5" queryTableFieldId="5" dataDxfId="14"/>
    <tableColumn id="6" xr3:uid="{00000000-0010-0000-0300-000006000000}" uniqueName="6" name="Column6" queryTableFieldId="6" dataDxfId="13"/>
    <tableColumn id="7" xr3:uid="{00000000-0010-0000-0300-000007000000}" uniqueName="7" name="Column7" queryTableFieldId="7" dataDxfId="12"/>
    <tableColumn id="8" xr3:uid="{00000000-0010-0000-0300-000008000000}" uniqueName="8" name="Column8" queryTableFieldId="8" dataDxfId="11"/>
    <tableColumn id="9" xr3:uid="{00000000-0010-0000-0300-000009000000}" uniqueName="9" name="Column9" queryTableFieldId="9" dataDxfId="10"/>
    <tableColumn id="10" xr3:uid="{00000000-0010-0000-0300-00000A000000}" uniqueName="10" name="Column10" queryTableFieldId="10" dataDxfId="9"/>
    <tableColumn id="11" xr3:uid="{00000000-0010-0000-0300-00000B000000}" uniqueName="11" name="Column11" queryTableFieldId="11" dataDxfId="8"/>
    <tableColumn id="12" xr3:uid="{00000000-0010-0000-0300-00000C000000}" uniqueName="12" name="Column12" queryTableFieldId="12" dataDxfId="7"/>
    <tableColumn id="13" xr3:uid="{00000000-0010-0000-0300-00000D000000}" uniqueName="13" name="Column13" queryTableFieldId="13" dataDxf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LoadCourse" displayName="LoadCourse" ref="A1:C2" tableType="queryTable" insertRow="1" totalsRowShown="0">
  <autoFilter ref="A1:C2" xr:uid="{00000000-0009-0000-0100-00000A000000}"/>
  <tableColumns count="3">
    <tableColumn id="1" xr3:uid="{00000000-0010-0000-0400-000001000000}" uniqueName="1" name="Course" queryTableFieldId="1" dataDxfId="5"/>
    <tableColumn id="2" xr3:uid="{00000000-0010-0000-0400-000002000000}" uniqueName="2" name="Date" queryTableFieldId="2" dataDxfId="4"/>
    <tableColumn id="3" xr3:uid="{00000000-0010-0000-0400-000003000000}" uniqueName="3" name="Corrective Maesure" queryTableFieldId="3"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s://www.gnu.org/licenses/why-not-lgpl.html" TargetMode="External"/><Relationship Id="rId1"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E159"/>
  <sheetViews>
    <sheetView zoomScale="90" zoomScaleNormal="100" workbookViewId="0">
      <selection activeCell="A2" sqref="A2:F2"/>
    </sheetView>
  </sheetViews>
  <sheetFormatPr defaultRowHeight="14.4" x14ac:dyDescent="0.3"/>
  <cols>
    <col min="1" max="1" width="11.21875" customWidth="1"/>
    <col min="2" max="2" width="12.6640625" bestFit="1" customWidth="1"/>
    <col min="3" max="3" width="39.88671875" customWidth="1"/>
    <col min="4" max="4" width="8.21875" bestFit="1" customWidth="1"/>
    <col min="5" max="5" width="15.88671875" bestFit="1" customWidth="1"/>
    <col min="6" max="6" width="21.77734375" bestFit="1" customWidth="1"/>
    <col min="7" max="7" width="4.88671875" customWidth="1"/>
    <col min="8" max="8" width="17" bestFit="1" customWidth="1"/>
    <col min="9" max="9" width="8.109375" customWidth="1"/>
    <col min="10" max="10" width="12.109375" bestFit="1" customWidth="1"/>
    <col min="11" max="11" width="15" bestFit="1" customWidth="1"/>
    <col min="12" max="12" width="5.77734375" customWidth="1"/>
    <col min="13" max="13" width="6" customWidth="1"/>
    <col min="14" max="14" width="11.21875" customWidth="1"/>
    <col min="15" max="15" width="12.33203125" customWidth="1"/>
    <col min="48" max="48" width="15" bestFit="1" customWidth="1"/>
    <col min="56" max="56" width="11.88671875" bestFit="1" customWidth="1"/>
  </cols>
  <sheetData>
    <row r="1" spans="1:57" ht="21.75" customHeight="1" x14ac:dyDescent="0.35">
      <c r="A1" s="116" t="str">
        <f>"Department of "&amp; DatabaseSetup!K2&amp;" Engineering (ver.28)"</f>
        <v>Department of Civil Engineering (ver.28)</v>
      </c>
      <c r="B1" s="116"/>
      <c r="C1" s="116"/>
      <c r="D1" s="116"/>
      <c r="E1" s="116"/>
      <c r="F1" s="116"/>
      <c r="G1" s="119" t="s">
        <v>390</v>
      </c>
      <c r="H1" s="31" t="s">
        <v>389</v>
      </c>
      <c r="I1" s="32" t="str">
        <f>CoursesFaculty!H2</f>
        <v>50</v>
      </c>
      <c r="J1" s="14" t="s">
        <v>251</v>
      </c>
      <c r="K1" s="119" t="s">
        <v>391</v>
      </c>
      <c r="L1" s="35" t="s">
        <v>389</v>
      </c>
      <c r="M1" s="32" t="str">
        <f>CoursesFaculty!L2</f>
        <v>60</v>
      </c>
      <c r="N1" s="14" t="s">
        <v>251</v>
      </c>
      <c r="O1" s="14"/>
      <c r="P1" s="14"/>
      <c r="Q1" s="14"/>
      <c r="R1" s="14"/>
      <c r="S1" s="14"/>
      <c r="T1" s="14"/>
      <c r="U1" s="14"/>
      <c r="V1" s="14"/>
      <c r="W1" s="14"/>
      <c r="X1" s="14"/>
      <c r="Y1" s="14"/>
      <c r="Z1" s="14"/>
      <c r="AA1" s="14"/>
      <c r="AB1" s="19" t="s">
        <v>238</v>
      </c>
      <c r="AC1" s="14"/>
      <c r="AD1" s="14"/>
      <c r="AE1" s="14"/>
      <c r="AF1" s="14"/>
      <c r="AG1" s="14"/>
      <c r="AH1" s="14"/>
      <c r="AT1">
        <f ca="1">YEAR(NOW())-2</f>
        <v>2020</v>
      </c>
      <c r="AV1" s="113">
        <f>VLOOKUP(Main!C3,BatchList!A2:B56,2,FALSE)</f>
        <v>230895153</v>
      </c>
      <c r="AW1">
        <v>1</v>
      </c>
      <c r="AX1" s="2" t="s">
        <v>110</v>
      </c>
      <c r="AY1" t="s">
        <v>176</v>
      </c>
      <c r="AZ1" t="s">
        <v>209</v>
      </c>
      <c r="BA1" t="s">
        <v>209</v>
      </c>
      <c r="BB1" t="s">
        <v>165</v>
      </c>
      <c r="BC1" t="s">
        <v>161</v>
      </c>
      <c r="BD1" s="100"/>
      <c r="BE1" s="100"/>
    </row>
    <row r="2" spans="1:57" ht="18.600000000000001" thickBot="1" x14ac:dyDescent="0.4">
      <c r="A2" s="116" t="str">
        <f>"University of Engineering and Technology, "&amp; DatabaseSetup!K3&amp;", Pakistan"</f>
        <v>University of Engineering and Technology, Peshawar, Pakistan</v>
      </c>
      <c r="B2" s="116"/>
      <c r="C2" s="116"/>
      <c r="D2" s="116"/>
      <c r="E2" s="116"/>
      <c r="F2" s="116"/>
      <c r="G2" s="120"/>
      <c r="H2" s="33" t="s">
        <v>112</v>
      </c>
      <c r="I2" s="34" t="str">
        <f>CoursesFaculty!H3</f>
        <v>40</v>
      </c>
      <c r="J2" s="14" t="s">
        <v>251</v>
      </c>
      <c r="K2" s="120"/>
      <c r="L2" s="36" t="s">
        <v>112</v>
      </c>
      <c r="M2" s="34" t="str">
        <f>CoursesFaculty!L3</f>
        <v>60</v>
      </c>
      <c r="N2" s="14" t="s">
        <v>251</v>
      </c>
      <c r="O2" s="14"/>
      <c r="P2" s="14"/>
      <c r="Q2" s="14"/>
      <c r="R2" s="14"/>
      <c r="S2" s="14"/>
      <c r="T2" s="14"/>
      <c r="U2" s="14"/>
      <c r="V2" s="14"/>
      <c r="W2" s="14"/>
      <c r="X2" s="14"/>
      <c r="Y2" s="14"/>
      <c r="Z2" s="14"/>
      <c r="AA2" s="14"/>
      <c r="AB2" s="14" t="s">
        <v>585</v>
      </c>
      <c r="AC2" s="14">
        <f ca="1">IF(ISNUMBER(FIND("A",UPPER($E$9))),COUNTIF(INDIRECT("BatchData!$D$2:$C$300"),"=AR"))+IF(ISNUMBER(FIND("B",UPPER($E$9))),COUNTIF(INDIRECT("BatchData!$D$2:$C$300"),"=BR"))+IF(ISNUMBER(FIND("C",UPPER($E$9))),COUNTIF(INDIRECT("BatchData!$D$2:$C$300"),"=CR"))+IF(ISNUMBER(FIND("D",UPPER($E$9))),COUNTIF(INDIRECT("BatchData!$D$2:$C$300"),"=DR"))+IF(ISNUMBER(FIND("E",UPPER($E$9))),COUNTIF(INDIRECT("BatchData!$D$2:$C$300"),"=ER"))</f>
        <v>0</v>
      </c>
      <c r="AD2" s="14"/>
      <c r="AE2" s="14"/>
      <c r="AF2" s="14"/>
      <c r="AG2" s="14"/>
      <c r="AH2" s="14"/>
      <c r="AT2">
        <f ca="1">AT1+1</f>
        <v>2021</v>
      </c>
      <c r="AW2">
        <v>2</v>
      </c>
      <c r="AX2" t="str">
        <f>"="&amp;C4</f>
        <v>=CE-117</v>
      </c>
      <c r="AY2" t="s">
        <v>406</v>
      </c>
      <c r="AZ2" t="s">
        <v>209</v>
      </c>
      <c r="BA2" t="s">
        <v>209</v>
      </c>
      <c r="BB2" t="s">
        <v>166</v>
      </c>
      <c r="BC2" t="s">
        <v>162</v>
      </c>
    </row>
    <row r="3" spans="1:57" x14ac:dyDescent="0.3">
      <c r="B3" s="15" t="s">
        <v>186</v>
      </c>
      <c r="C3" s="85" t="s">
        <v>193</v>
      </c>
      <c r="D3" s="16"/>
      <c r="E3" s="16"/>
      <c r="F3" s="16"/>
      <c r="G3" s="117" t="s">
        <v>205</v>
      </c>
      <c r="H3" s="117"/>
      <c r="I3" s="29" t="s">
        <v>211</v>
      </c>
      <c r="J3" s="10"/>
      <c r="K3" s="114" t="s">
        <v>206</v>
      </c>
      <c r="L3" s="115"/>
      <c r="M3" s="30" t="s">
        <v>112</v>
      </c>
      <c r="N3" s="13" t="s">
        <v>242</v>
      </c>
      <c r="O3" s="11" t="s">
        <v>239</v>
      </c>
      <c r="P3" s="14"/>
      <c r="Q3" s="14"/>
      <c r="R3" s="14"/>
      <c r="S3" s="14"/>
      <c r="T3" s="14"/>
      <c r="U3" s="14"/>
      <c r="V3" s="14"/>
      <c r="W3" s="14"/>
      <c r="X3" s="14"/>
      <c r="Y3" s="14"/>
      <c r="Z3" s="14"/>
      <c r="AT3">
        <f ca="1">AT2+1</f>
        <v>2022</v>
      </c>
      <c r="AW3">
        <v>3</v>
      </c>
      <c r="AY3" t="s">
        <v>177</v>
      </c>
      <c r="AZ3" t="s">
        <v>209</v>
      </c>
      <c r="BA3" t="s">
        <v>209</v>
      </c>
      <c r="BB3" t="s">
        <v>167</v>
      </c>
      <c r="BC3" t="s">
        <v>163</v>
      </c>
    </row>
    <row r="4" spans="1:57" x14ac:dyDescent="0.3">
      <c r="A4" s="16"/>
      <c r="B4" s="15" t="s">
        <v>1</v>
      </c>
      <c r="C4" s="84" t="s">
        <v>117</v>
      </c>
      <c r="D4" s="16"/>
      <c r="E4" s="16"/>
      <c r="F4" s="16"/>
      <c r="G4" s="11">
        <v>1</v>
      </c>
      <c r="H4" s="92" t="s">
        <v>176</v>
      </c>
      <c r="I4" s="93">
        <v>1</v>
      </c>
      <c r="J4" s="10" t="str">
        <f t="shared" ref="J4:J35" si="0">IFERROR(VLOOKUP(H4,$AY$1:$AZ$13,2,FALSE),"")</f>
        <v>-</v>
      </c>
      <c r="K4" s="11" t="str">
        <f t="shared" ref="K4:K35" si="1">_xlfn.IFNA(VLOOKUP(H4,$AY$1:$BA$13,3,FALSE),"")</f>
        <v>-</v>
      </c>
      <c r="L4" s="95">
        <v>1</v>
      </c>
      <c r="M4" s="94" t="s">
        <v>739</v>
      </c>
      <c r="N4" s="95">
        <v>20</v>
      </c>
      <c r="O4" s="95">
        <v>3.3</v>
      </c>
      <c r="P4" s="14"/>
      <c r="Q4" s="14"/>
      <c r="R4" s="14"/>
      <c r="S4" s="14"/>
      <c r="T4" s="14"/>
      <c r="U4" s="14"/>
      <c r="V4" s="14"/>
      <c r="W4" s="14"/>
      <c r="X4" s="14"/>
      <c r="Y4" s="14"/>
      <c r="Z4" s="14"/>
      <c r="AW4">
        <v>4</v>
      </c>
      <c r="AY4" t="s">
        <v>178</v>
      </c>
      <c r="AZ4" t="s">
        <v>212</v>
      </c>
      <c r="BA4" t="s">
        <v>207</v>
      </c>
      <c r="BB4" t="s">
        <v>168</v>
      </c>
    </row>
    <row r="5" spans="1:57" x14ac:dyDescent="0.3">
      <c r="A5" s="16"/>
      <c r="B5" s="15" t="s">
        <v>159</v>
      </c>
      <c r="C5" s="16" t="str">
        <f>VLOOKUP(Main!C4,CoursesFaculty!$B$3:$C$186,2,FALSE)</f>
        <v>Engineering Mechanics</v>
      </c>
      <c r="D5" s="16"/>
      <c r="E5" s="16"/>
      <c r="F5" s="16"/>
      <c r="G5" s="11">
        <v>2</v>
      </c>
      <c r="H5" s="92" t="s">
        <v>176</v>
      </c>
      <c r="I5" s="93">
        <v>1</v>
      </c>
      <c r="J5" s="10" t="str">
        <f t="shared" si="0"/>
        <v>-</v>
      </c>
      <c r="K5" s="11" t="str">
        <f t="shared" si="1"/>
        <v>-</v>
      </c>
      <c r="L5" s="95">
        <v>1</v>
      </c>
      <c r="M5" s="94" t="s">
        <v>740</v>
      </c>
      <c r="N5" s="95">
        <v>20</v>
      </c>
      <c r="O5" s="95">
        <v>3.3</v>
      </c>
      <c r="P5" s="14"/>
      <c r="Q5" s="14"/>
      <c r="R5" s="14"/>
      <c r="S5" s="14"/>
      <c r="T5" s="14"/>
      <c r="U5" s="14"/>
      <c r="V5" s="14"/>
      <c r="W5" s="14"/>
      <c r="X5" s="14"/>
      <c r="Y5" s="14"/>
      <c r="Z5" s="14"/>
      <c r="AW5">
        <v>5</v>
      </c>
      <c r="AY5" t="s">
        <v>179</v>
      </c>
      <c r="AZ5" t="s">
        <v>212</v>
      </c>
      <c r="BA5" t="s">
        <v>207</v>
      </c>
      <c r="BB5" t="s">
        <v>169</v>
      </c>
    </row>
    <row r="6" spans="1:57" x14ac:dyDescent="0.3">
      <c r="A6" s="16"/>
      <c r="B6" s="15" t="s">
        <v>160</v>
      </c>
      <c r="C6" s="86" t="s">
        <v>169</v>
      </c>
      <c r="D6" s="16"/>
      <c r="E6" s="16"/>
      <c r="F6" s="16"/>
      <c r="G6" s="11">
        <v>3</v>
      </c>
      <c r="H6" s="92" t="s">
        <v>176</v>
      </c>
      <c r="I6" s="93">
        <v>1</v>
      </c>
      <c r="J6" s="10" t="str">
        <f t="shared" si="0"/>
        <v>-</v>
      </c>
      <c r="K6" s="11" t="str">
        <f t="shared" si="1"/>
        <v>-</v>
      </c>
      <c r="L6" s="95">
        <v>1</v>
      </c>
      <c r="M6" s="94" t="s">
        <v>741</v>
      </c>
      <c r="N6" s="95">
        <v>20</v>
      </c>
      <c r="O6" s="95">
        <v>3.3</v>
      </c>
      <c r="P6" s="14"/>
      <c r="Q6" s="14"/>
      <c r="R6" s="14"/>
      <c r="S6" s="14"/>
      <c r="T6" s="14"/>
      <c r="U6" s="14"/>
      <c r="V6" s="14"/>
      <c r="W6" s="14"/>
      <c r="X6" s="14"/>
      <c r="Y6" s="14"/>
      <c r="Z6" s="14"/>
      <c r="AW6">
        <v>6</v>
      </c>
      <c r="AY6" t="s">
        <v>180</v>
      </c>
      <c r="AZ6" t="s">
        <v>209</v>
      </c>
      <c r="BA6" t="s">
        <v>210</v>
      </c>
      <c r="BB6" t="s">
        <v>170</v>
      </c>
    </row>
    <row r="7" spans="1:57" x14ac:dyDescent="0.3">
      <c r="A7" s="16"/>
      <c r="B7" s="15" t="s">
        <v>173</v>
      </c>
      <c r="C7" s="86" t="s">
        <v>161</v>
      </c>
      <c r="D7" s="16"/>
      <c r="E7" s="16"/>
      <c r="F7" s="16"/>
      <c r="G7" s="11">
        <v>4</v>
      </c>
      <c r="H7" s="92" t="s">
        <v>177</v>
      </c>
      <c r="I7" s="93">
        <v>1</v>
      </c>
      <c r="J7" s="10" t="str">
        <f t="shared" si="0"/>
        <v>-</v>
      </c>
      <c r="K7" s="11" t="str">
        <f t="shared" si="1"/>
        <v>-</v>
      </c>
      <c r="L7" s="95">
        <v>1</v>
      </c>
      <c r="M7" s="94" t="s">
        <v>739</v>
      </c>
      <c r="N7" s="95">
        <v>20</v>
      </c>
      <c r="O7" s="95">
        <v>3.3</v>
      </c>
      <c r="P7" s="14"/>
      <c r="Q7" s="14"/>
      <c r="R7" s="14"/>
      <c r="S7" s="14"/>
      <c r="T7" s="14"/>
      <c r="U7" s="14"/>
      <c r="V7" s="14"/>
      <c r="W7" s="14"/>
      <c r="X7" s="14"/>
      <c r="Y7" s="14"/>
      <c r="Z7" s="14"/>
      <c r="AW7">
        <v>7</v>
      </c>
      <c r="AY7" t="s">
        <v>181</v>
      </c>
      <c r="AZ7" t="s">
        <v>209</v>
      </c>
      <c r="BA7" t="s">
        <v>210</v>
      </c>
      <c r="BB7" t="s">
        <v>171</v>
      </c>
    </row>
    <row r="8" spans="1:57" x14ac:dyDescent="0.3">
      <c r="A8" s="16"/>
      <c r="B8" s="15" t="s">
        <v>164</v>
      </c>
      <c r="C8" s="87">
        <v>2019</v>
      </c>
      <c r="D8" s="16"/>
      <c r="E8" s="16"/>
      <c r="F8" s="16"/>
      <c r="G8" s="11">
        <v>5</v>
      </c>
      <c r="H8" s="92" t="s">
        <v>177</v>
      </c>
      <c r="I8" s="93">
        <v>1</v>
      </c>
      <c r="J8" s="10" t="str">
        <f t="shared" si="0"/>
        <v>-</v>
      </c>
      <c r="K8" s="11" t="str">
        <f t="shared" si="1"/>
        <v>-</v>
      </c>
      <c r="L8" s="95">
        <v>1</v>
      </c>
      <c r="M8" s="94" t="s">
        <v>740</v>
      </c>
      <c r="N8" s="95">
        <v>10</v>
      </c>
      <c r="O8" s="95">
        <v>3.3</v>
      </c>
      <c r="P8" s="14"/>
      <c r="Q8" s="14"/>
      <c r="R8" s="14"/>
      <c r="S8" s="14"/>
      <c r="T8" s="14"/>
      <c r="U8" s="14"/>
      <c r="V8" s="14"/>
      <c r="W8" s="14"/>
      <c r="X8" s="14"/>
      <c r="Y8" s="14"/>
      <c r="Z8" s="14"/>
      <c r="AW8">
        <v>8</v>
      </c>
      <c r="AY8" t="s">
        <v>182</v>
      </c>
      <c r="AZ8" t="s">
        <v>208</v>
      </c>
      <c r="BA8" t="s">
        <v>210</v>
      </c>
      <c r="BB8" t="s">
        <v>172</v>
      </c>
    </row>
    <row r="9" spans="1:57" x14ac:dyDescent="0.3">
      <c r="A9" s="16"/>
      <c r="B9" s="15" t="s">
        <v>412</v>
      </c>
      <c r="C9" s="86" t="s">
        <v>58</v>
      </c>
      <c r="D9" s="15" t="s">
        <v>174</v>
      </c>
      <c r="E9" s="90" t="s">
        <v>743</v>
      </c>
      <c r="G9" s="11">
        <v>6</v>
      </c>
      <c r="H9" s="92" t="s">
        <v>177</v>
      </c>
      <c r="I9" s="93">
        <v>1</v>
      </c>
      <c r="J9" s="10" t="str">
        <f t="shared" si="0"/>
        <v>-</v>
      </c>
      <c r="K9" s="11" t="str">
        <f t="shared" si="1"/>
        <v>-</v>
      </c>
      <c r="L9" s="95">
        <v>1</v>
      </c>
      <c r="M9" s="94" t="s">
        <v>741</v>
      </c>
      <c r="N9" s="95">
        <v>20</v>
      </c>
      <c r="O9" s="95">
        <v>3.3</v>
      </c>
      <c r="P9" s="14"/>
      <c r="Q9" s="14"/>
      <c r="R9" s="14"/>
      <c r="S9" s="14"/>
      <c r="T9" s="14"/>
      <c r="U9" s="14"/>
      <c r="V9" s="14"/>
      <c r="W9" s="14"/>
      <c r="X9" s="14"/>
      <c r="Y9" s="14"/>
      <c r="Z9" s="14"/>
      <c r="AW9">
        <v>9</v>
      </c>
      <c r="AY9" t="s">
        <v>183</v>
      </c>
      <c r="AZ9" t="s">
        <v>411</v>
      </c>
      <c r="BA9" t="s">
        <v>210</v>
      </c>
    </row>
    <row r="10" spans="1:57" x14ac:dyDescent="0.3">
      <c r="A10" s="16"/>
      <c r="B10" s="16"/>
      <c r="C10" s="16"/>
      <c r="D10" s="16"/>
      <c r="E10" s="16"/>
      <c r="F10" s="16"/>
      <c r="G10" s="11">
        <v>7</v>
      </c>
      <c r="H10" s="92" t="s">
        <v>178</v>
      </c>
      <c r="I10" s="93">
        <v>1</v>
      </c>
      <c r="J10" s="10" t="str">
        <f t="shared" si="0"/>
        <v>Exam</v>
      </c>
      <c r="K10" s="11" t="str">
        <f t="shared" si="1"/>
        <v>Questions/Parts</v>
      </c>
      <c r="L10" s="95">
        <v>1</v>
      </c>
      <c r="M10" s="94" t="s">
        <v>739</v>
      </c>
      <c r="N10" s="95">
        <v>30</v>
      </c>
      <c r="O10" s="95">
        <v>5</v>
      </c>
      <c r="P10" s="14"/>
      <c r="Q10" s="14"/>
      <c r="R10" s="14"/>
      <c r="S10" s="14"/>
      <c r="T10" s="14"/>
      <c r="U10" s="14"/>
      <c r="V10" s="14"/>
      <c r="W10" s="14"/>
      <c r="X10" s="14"/>
      <c r="Y10" s="14"/>
      <c r="Z10" s="14"/>
      <c r="AW10">
        <v>10</v>
      </c>
      <c r="AY10" t="s">
        <v>184</v>
      </c>
      <c r="AZ10" t="s">
        <v>409</v>
      </c>
      <c r="BA10" t="s">
        <v>210</v>
      </c>
    </row>
    <row r="11" spans="1:57" x14ac:dyDescent="0.3">
      <c r="A11" s="16"/>
      <c r="B11" s="16"/>
      <c r="C11" s="16"/>
      <c r="D11" s="16"/>
      <c r="E11" s="16"/>
      <c r="F11" s="16"/>
      <c r="G11" s="11">
        <v>8</v>
      </c>
      <c r="H11" s="92" t="s">
        <v>178</v>
      </c>
      <c r="I11" s="93">
        <v>1</v>
      </c>
      <c r="J11" s="10" t="str">
        <f t="shared" si="0"/>
        <v>Exam</v>
      </c>
      <c r="K11" s="11" t="str">
        <f t="shared" si="1"/>
        <v>Questions/Parts</v>
      </c>
      <c r="L11" s="95">
        <v>1</v>
      </c>
      <c r="M11" s="94" t="s">
        <v>740</v>
      </c>
      <c r="N11" s="95">
        <v>10</v>
      </c>
      <c r="O11" s="95">
        <v>6</v>
      </c>
      <c r="P11" s="14"/>
      <c r="Q11" s="14"/>
      <c r="R11" s="14"/>
      <c r="S11" s="14"/>
      <c r="T11" s="14"/>
      <c r="U11" s="14"/>
      <c r="V11" s="14"/>
      <c r="W11" s="14"/>
      <c r="X11" s="14"/>
      <c r="Y11" s="14"/>
      <c r="Z11" s="14"/>
      <c r="AY11" t="s">
        <v>185</v>
      </c>
      <c r="AZ11" t="s">
        <v>209</v>
      </c>
      <c r="BA11" t="s">
        <v>210</v>
      </c>
    </row>
    <row r="12" spans="1:57" x14ac:dyDescent="0.3">
      <c r="A12" s="16"/>
      <c r="B12" s="14"/>
      <c r="C12" s="16"/>
      <c r="D12" s="17" t="s">
        <v>225</v>
      </c>
      <c r="E12" s="37">
        <f ca="1">IF(ISNUMBER(FIND("A",UPPER($E$9))),COUNTIF(INDIRECT("BatchData!$C$2:$C$300"),"=A"))+IF(ISNUMBER(FIND("B",UPPER($E$9))),COUNTIF(INDIRECT("BatchData!$C$2:$C$300"),"=B"))+IF(ISNUMBER(FIND("C",UPPER($E$9))),COUNTIF(INDIRECT("BatchData!$C$2:$C$300"),"=C"))+IF(ISNUMBER(FIND("D",UPPER($E$9))),COUNTIF(INDIRECT("BatchData!$C$2:$C$300"),"=D"))+IF(ISNUMBER(FIND("E",UPPER($E$9))),COUNTIF(INDIRECT("BatchData!$C$2:$C$300"),"=E"))+AC2</f>
        <v>0</v>
      </c>
      <c r="F12" s="16"/>
      <c r="G12" s="11">
        <v>9</v>
      </c>
      <c r="H12" s="92" t="s">
        <v>178</v>
      </c>
      <c r="I12" s="93">
        <v>1</v>
      </c>
      <c r="J12" s="10" t="str">
        <f t="shared" si="0"/>
        <v>Exam</v>
      </c>
      <c r="K12" s="11" t="str">
        <f t="shared" si="1"/>
        <v>Questions/Parts</v>
      </c>
      <c r="L12" s="95">
        <v>1</v>
      </c>
      <c r="M12" s="94" t="s">
        <v>740</v>
      </c>
      <c r="N12" s="95">
        <v>10</v>
      </c>
      <c r="O12" s="95">
        <v>5</v>
      </c>
      <c r="P12" s="14"/>
      <c r="Q12" s="14"/>
      <c r="R12" s="14"/>
      <c r="S12" s="14"/>
      <c r="T12" s="14"/>
      <c r="U12" s="14"/>
      <c r="V12" s="14"/>
      <c r="W12" s="14"/>
      <c r="X12" s="14"/>
      <c r="Y12" s="14"/>
      <c r="Z12" s="14"/>
      <c r="AY12" t="s">
        <v>407</v>
      </c>
      <c r="AZ12" t="s">
        <v>409</v>
      </c>
      <c r="BA12" t="s">
        <v>210</v>
      </c>
    </row>
    <row r="13" spans="1:57" x14ac:dyDescent="0.3">
      <c r="A13" s="16"/>
      <c r="B13" s="16"/>
      <c r="C13" s="16"/>
      <c r="D13" s="16"/>
      <c r="E13" s="16"/>
      <c r="F13" s="16"/>
      <c r="G13" s="11">
        <v>10</v>
      </c>
      <c r="H13" s="92" t="s">
        <v>178</v>
      </c>
      <c r="I13" s="93">
        <v>1</v>
      </c>
      <c r="J13" s="10" t="str">
        <f t="shared" si="0"/>
        <v>Exam</v>
      </c>
      <c r="K13" s="11" t="str">
        <f t="shared" si="1"/>
        <v>Questions/Parts</v>
      </c>
      <c r="L13" s="95">
        <v>1</v>
      </c>
      <c r="M13" s="94" t="s">
        <v>740</v>
      </c>
      <c r="N13" s="95">
        <v>10</v>
      </c>
      <c r="O13" s="95">
        <v>4</v>
      </c>
      <c r="P13" s="14"/>
      <c r="Q13" s="14"/>
      <c r="R13" s="14"/>
      <c r="S13" s="14"/>
      <c r="T13" s="14"/>
      <c r="U13" s="14"/>
      <c r="V13" s="14"/>
      <c r="W13" s="14"/>
      <c r="X13" s="14"/>
      <c r="Y13" s="14"/>
      <c r="Z13" s="14"/>
      <c r="AY13" t="s">
        <v>408</v>
      </c>
      <c r="AZ13" t="s">
        <v>410</v>
      </c>
      <c r="BA13" t="s">
        <v>210</v>
      </c>
    </row>
    <row r="14" spans="1:57" x14ac:dyDescent="0.3">
      <c r="A14" s="23" t="s">
        <v>337</v>
      </c>
      <c r="B14" s="17" t="s">
        <v>736</v>
      </c>
      <c r="C14" s="18">
        <f ca="1">COUNTIF(INDIRECT("CLOPLOs!$A2:A6"),"="&amp;Main!$C$4)</f>
        <v>3</v>
      </c>
      <c r="D14" s="17" t="s">
        <v>735</v>
      </c>
      <c r="E14" s="18">
        <f ca="1">SUMPRODUCT((D16:D20&lt;&gt;"")/COUNTIF(D16:D20,D16:D20&amp;""))</f>
        <v>2</v>
      </c>
      <c r="F14" s="16"/>
      <c r="G14" s="11">
        <v>11</v>
      </c>
      <c r="H14" s="92" t="s">
        <v>179</v>
      </c>
      <c r="I14" s="93">
        <v>1</v>
      </c>
      <c r="J14" s="10" t="str">
        <f t="shared" si="0"/>
        <v>Exam</v>
      </c>
      <c r="K14" s="11" t="str">
        <f t="shared" si="1"/>
        <v>Questions/Parts</v>
      </c>
      <c r="L14" s="95">
        <v>1</v>
      </c>
      <c r="M14" s="94" t="s">
        <v>739</v>
      </c>
      <c r="N14" s="95">
        <v>30</v>
      </c>
      <c r="O14" s="95">
        <v>15</v>
      </c>
      <c r="P14" s="14"/>
      <c r="Q14" s="14"/>
      <c r="R14" s="14"/>
      <c r="S14" s="14"/>
      <c r="T14" s="14"/>
      <c r="U14" s="14"/>
      <c r="V14" s="14"/>
      <c r="W14" s="14"/>
      <c r="X14" s="14"/>
      <c r="Y14" s="14"/>
      <c r="Z14" s="14"/>
    </row>
    <row r="15" spans="1:57" x14ac:dyDescent="0.3">
      <c r="A15" s="24" t="s">
        <v>338</v>
      </c>
      <c r="B15" s="22" t="s">
        <v>111</v>
      </c>
      <c r="C15" s="4" t="s">
        <v>742</v>
      </c>
      <c r="D15" s="4" t="s">
        <v>113</v>
      </c>
      <c r="E15" s="4" t="s">
        <v>593</v>
      </c>
      <c r="F15" s="4" t="s">
        <v>692</v>
      </c>
      <c r="G15" s="11">
        <v>12</v>
      </c>
      <c r="H15" s="92" t="s">
        <v>179</v>
      </c>
      <c r="I15" s="93">
        <v>1</v>
      </c>
      <c r="J15" s="10" t="str">
        <f t="shared" si="0"/>
        <v>Exam</v>
      </c>
      <c r="K15" s="11" t="str">
        <f t="shared" si="1"/>
        <v>Questions/Parts</v>
      </c>
      <c r="L15" s="95">
        <v>1</v>
      </c>
      <c r="M15" s="94" t="s">
        <v>740</v>
      </c>
      <c r="N15" s="95">
        <v>10</v>
      </c>
      <c r="O15" s="95">
        <v>12</v>
      </c>
      <c r="P15" s="14"/>
      <c r="Q15" s="14"/>
      <c r="R15" s="14"/>
      <c r="S15" s="14"/>
      <c r="T15" s="14"/>
      <c r="U15" s="14"/>
      <c r="V15" s="14"/>
      <c r="W15" s="14"/>
      <c r="X15" s="14"/>
      <c r="Y15" s="14"/>
      <c r="Z15" s="14"/>
    </row>
    <row r="16" spans="1:57" ht="41.4" x14ac:dyDescent="0.3">
      <c r="A16" s="25" t="str">
        <f ca="1">IF(B16&lt;&gt;"",SUMIFS($N$4:$N$53,$M$4:$M$53,"="&amp;B16)&amp;"% ","")</f>
        <v xml:space="preserve">100% </v>
      </c>
      <c r="B16" s="25" t="str">
        <f ca="1">IF(INDIRECT("CLOPLOs!B"&amp;ROW()-14)="","",INDIRECT("CLOPLOs!B"&amp;ROW()-14))</f>
        <v>CLO 1</v>
      </c>
      <c r="C16" s="39" t="str">
        <f ca="1">IF(INDIRECT("CLOPLOs!C"&amp;ROW()-14)="","",INDIRECT("CLOPLOs!C"&amp;ROW()-14) &amp; " [" &amp;IF(INDIRECT("CLOPLOs!E"&amp;ROW()-14)="","",INDIRECT("CLOPLOs!E"&amp;ROW()-14))&amp;IF(INDIRECT("CLOPLOs!F"&amp;ROW()-14)="","",INDIRECT("CLOPLOs!F"&amp;ROW()-14)) &amp;"]")</f>
        <v>Solve problems involving direct application of the concepts of Rigid Body Mechanics (such as Resolution of a force, Moment, Couple) [C3]</v>
      </c>
      <c r="D16" s="25" t="str">
        <f ca="1">IF(INDIRECT("CLOPLOs!D"&amp;ROW()-14)="","",INDIRECT("CLOPLOs!D"&amp;ROW()-14))</f>
        <v>PLO 1</v>
      </c>
      <c r="E16" s="25" t="str">
        <f ca="1">IF(INDIRECT("CLOPLOs!E"&amp;ROW()-14)="","",INDIRECT("CLOPLOs!E"&amp;ROW()-14))&amp;IF(INDIRECT("CLOPLOs!F"&amp;ROW()-14)="","",INDIRECT("CLOPLOs!F"&amp;ROW()-14))</f>
        <v>C3</v>
      </c>
      <c r="F16" s="91">
        <v>100</v>
      </c>
      <c r="G16" s="11">
        <v>13</v>
      </c>
      <c r="H16" s="92" t="s">
        <v>179</v>
      </c>
      <c r="I16" s="93">
        <v>1</v>
      </c>
      <c r="J16" s="10" t="str">
        <f t="shared" si="0"/>
        <v>Exam</v>
      </c>
      <c r="K16" s="11" t="str">
        <f t="shared" si="1"/>
        <v>Questions/Parts</v>
      </c>
      <c r="L16" s="95">
        <v>1</v>
      </c>
      <c r="M16" s="94" t="s">
        <v>741</v>
      </c>
      <c r="N16" s="95">
        <v>60</v>
      </c>
      <c r="O16" s="95">
        <v>9</v>
      </c>
      <c r="Q16" s="14"/>
      <c r="R16" s="14"/>
      <c r="S16" s="14"/>
      <c r="T16" s="14"/>
      <c r="U16" s="14"/>
      <c r="V16" s="14"/>
      <c r="W16" s="14"/>
      <c r="X16" s="14"/>
      <c r="Y16" s="14"/>
      <c r="Z16" s="14"/>
    </row>
    <row r="17" spans="1:26" ht="27.6" x14ac:dyDescent="0.3">
      <c r="A17" s="25" t="str">
        <f ca="1">IF(B17&lt;&gt;"",SUMIFS($N$4:$N$53,$M$4:$M$53,"="&amp;B17)&amp;"% ","")</f>
        <v xml:space="preserve">100% </v>
      </c>
      <c r="B17" s="25" t="str">
        <f ca="1">IF(INDIRECT("CLOPLOs!B"&amp;ROW()-14)="","",INDIRECT("CLOPLOs!B"&amp;ROW()-14))</f>
        <v>CLO 2</v>
      </c>
      <c r="C17" s="39" t="str">
        <f t="shared" ref="C17:C20" ca="1" si="2">IF(INDIRECT("CLOPLOs!C"&amp;ROW()-14)="","",INDIRECT("CLOPLOs!C"&amp;ROW()-14) &amp; " [" &amp;IF(INDIRECT("CLOPLOs!E"&amp;ROW()-14)="","",INDIRECT("CLOPLOs!E"&amp;ROW()-14))&amp;IF(INDIRECT("CLOPLOs!F"&amp;ROW()-14)="","",INDIRECT("CLOPLOs!F"&amp;ROW()-14)) &amp;"]")</f>
        <v>Determine Resultant force and Geometrical properties of Planar systems. [C4]</v>
      </c>
      <c r="D17" s="25" t="str">
        <f ca="1">IF(INDIRECT("CLOPLOs!D"&amp;ROW()-14)="","",INDIRECT("CLOPLOs!D"&amp;ROW()-14))</f>
        <v>PLO 2</v>
      </c>
      <c r="E17" s="25" t="str">
        <f ca="1">IF(INDIRECT("CLOPLOs!E"&amp;ROW()-14)="","",INDIRECT("CLOPLOs!E"&amp;ROW()-14))&amp;IF(INDIRECT("CLOPLOs!F"&amp;ROW()-14)="","",INDIRECT("CLOPLOs!F"&amp;ROW()-14))</f>
        <v>C4</v>
      </c>
      <c r="F17" s="91">
        <v>10</v>
      </c>
      <c r="G17" s="11">
        <v>14</v>
      </c>
      <c r="H17" s="92" t="s">
        <v>179</v>
      </c>
      <c r="I17" s="93">
        <v>1</v>
      </c>
      <c r="J17" s="10" t="str">
        <f t="shared" si="0"/>
        <v>Exam</v>
      </c>
      <c r="K17" s="11" t="str">
        <f t="shared" si="1"/>
        <v>Questions/Parts</v>
      </c>
      <c r="L17" s="95">
        <v>1</v>
      </c>
      <c r="M17" s="94" t="s">
        <v>740</v>
      </c>
      <c r="N17" s="95">
        <v>15</v>
      </c>
      <c r="O17" s="95">
        <v>12</v>
      </c>
      <c r="P17" s="14"/>
      <c r="Q17" s="14"/>
      <c r="R17" s="14"/>
      <c r="S17" s="14"/>
      <c r="T17" s="14"/>
      <c r="U17" s="14"/>
      <c r="V17" s="14"/>
      <c r="W17" s="14"/>
      <c r="X17" s="14"/>
      <c r="Y17" s="14"/>
      <c r="Z17" s="14"/>
    </row>
    <row r="18" spans="1:26" ht="41.4" x14ac:dyDescent="0.3">
      <c r="A18" s="25" t="str">
        <f ca="1">IF(B18&lt;&gt;"",SUMIFS($N$4:$N$53,$M$4:$M$53,"="&amp;B18)&amp;"% ","")</f>
        <v xml:space="preserve">100% </v>
      </c>
      <c r="B18" s="25" t="str">
        <f ca="1">IF(INDIRECT("CLOPLOs!B"&amp;ROW()-14)="","",INDIRECT("CLOPLOs!B"&amp;ROW()-14))</f>
        <v>CLO 3</v>
      </c>
      <c r="C18" s="39" t="str">
        <f t="shared" ca="1" si="2"/>
        <v>Analyze Statically determinate Planar force systems to calculate reactions, internal, force and displacements [C4]</v>
      </c>
      <c r="D18" s="25" t="str">
        <f ca="1">IF(INDIRECT("CLOPLOs!D"&amp;ROW()-14)="","",INDIRECT("CLOPLOs!D"&amp;ROW()-14))</f>
        <v>PLO 2</v>
      </c>
      <c r="E18" s="25" t="str">
        <f ca="1">IF(INDIRECT("CLOPLOs!E"&amp;ROW()-14)="","",INDIRECT("CLOPLOs!E"&amp;ROW()-14))&amp;IF(INDIRECT("CLOPLOs!F"&amp;ROW()-14)="","",INDIRECT("CLOPLOs!F"&amp;ROW()-14))</f>
        <v>C4</v>
      </c>
      <c r="F18" s="91">
        <v>90</v>
      </c>
      <c r="G18" s="11">
        <v>15</v>
      </c>
      <c r="H18" s="92" t="s">
        <v>179</v>
      </c>
      <c r="I18" s="93">
        <v>1</v>
      </c>
      <c r="J18" s="10" t="str">
        <f t="shared" si="0"/>
        <v>Exam</v>
      </c>
      <c r="K18" s="11" t="str">
        <f t="shared" si="1"/>
        <v>Questions/Parts</v>
      </c>
      <c r="L18" s="95">
        <v>1</v>
      </c>
      <c r="M18" s="94" t="s">
        <v>740</v>
      </c>
      <c r="N18" s="95">
        <v>15</v>
      </c>
      <c r="O18" s="95">
        <v>12</v>
      </c>
      <c r="P18" s="14"/>
      <c r="Q18" s="14"/>
      <c r="R18" s="14"/>
      <c r="S18" s="14"/>
      <c r="T18" s="14"/>
      <c r="U18" s="14"/>
      <c r="V18" s="14"/>
      <c r="W18" s="14"/>
      <c r="X18" s="14"/>
      <c r="Y18" s="14"/>
      <c r="Z18" s="14"/>
    </row>
    <row r="19" spans="1:26" x14ac:dyDescent="0.3">
      <c r="A19" s="25" t="str">
        <f ca="1">IF(B19&lt;&gt;"",SUMIFS($N$4:$N$53,$M$4:$M$53,"="&amp;B19)&amp;"% ","")</f>
        <v/>
      </c>
      <c r="B19" s="25" t="str">
        <f ca="1">IF(INDIRECT("CLOPLOs!B"&amp;ROW()-14)="","",INDIRECT("CLOPLOs!B"&amp;ROW()-14))</f>
        <v/>
      </c>
      <c r="C19" s="39" t="str">
        <f t="shared" ca="1" si="2"/>
        <v/>
      </c>
      <c r="D19" s="25" t="str">
        <f ca="1">IF(INDIRECT("CLOPLOs!D"&amp;ROW()-14)="","",INDIRECT("CLOPLOs!D"&amp;ROW()-14))</f>
        <v/>
      </c>
      <c r="E19" s="25" t="str">
        <f ca="1">IF(INDIRECT("CLOPLOs!E"&amp;ROW()-14)="","",INDIRECT("CLOPLOs!E"&amp;ROW()-14))&amp;IF(INDIRECT("CLOPLOs!F"&amp;ROW()-14)="","",INDIRECT("CLOPLOs!F"&amp;ROW()-14))</f>
        <v/>
      </c>
      <c r="F19" s="25" t="str">
        <f ca="1">IF(INDIRECT("CLOPLOs!G"&amp;ROW()-14)="","",INDIRECT("CLOPLOs!G"&amp;ROW()-14))</f>
        <v/>
      </c>
      <c r="G19" s="11">
        <v>16</v>
      </c>
      <c r="H19" s="5"/>
      <c r="I19" s="12"/>
      <c r="J19" s="10" t="str">
        <f t="shared" si="0"/>
        <v/>
      </c>
      <c r="K19" s="11" t="str">
        <f t="shared" si="1"/>
        <v/>
      </c>
      <c r="L19" s="12"/>
      <c r="M19" s="5"/>
      <c r="N19" s="12"/>
      <c r="O19" s="12"/>
      <c r="P19" s="14"/>
      <c r="Q19" s="14"/>
      <c r="R19" s="14"/>
      <c r="S19" s="14"/>
      <c r="T19" s="14"/>
      <c r="U19" s="14"/>
      <c r="V19" s="14"/>
      <c r="W19" s="14"/>
      <c r="X19" s="14"/>
      <c r="Y19" s="14"/>
      <c r="Z19" s="14"/>
    </row>
    <row r="20" spans="1:26" x14ac:dyDescent="0.3">
      <c r="A20" s="25" t="str">
        <f ca="1">IF(B20&lt;&gt;"",SUMIFS($N$4:$N$53,$M$4:$M$53,"="&amp;B20)&amp;"% ","")</f>
        <v/>
      </c>
      <c r="B20" s="25" t="str">
        <f ca="1">IF(INDIRECT("CLOPLOs!B"&amp;ROW()-14)="","",INDIRECT("CLOPLOs!B"&amp;ROW()-14))</f>
        <v/>
      </c>
      <c r="C20" s="39" t="str">
        <f t="shared" ca="1" si="2"/>
        <v/>
      </c>
      <c r="D20" s="25" t="str">
        <f ca="1">IF(INDIRECT("CLOPLOs!D"&amp;ROW()-14)="","",INDIRECT("CLOPLOs!D"&amp;ROW()-14))</f>
        <v/>
      </c>
      <c r="E20" s="25" t="str">
        <f ca="1">IF(INDIRECT("CLOPLOs!E"&amp;ROW()-14)="","",INDIRECT("CLOPLOs!E"&amp;ROW()-14))&amp;IF(INDIRECT("CLOPLOs!F"&amp;ROW()-14)="","",INDIRECT("CLOPLOs!F"&amp;ROW()-14))</f>
        <v/>
      </c>
      <c r="F20" s="25" t="str">
        <f ca="1">IF(INDIRECT("CLOPLOs!G"&amp;ROW()-14)="","",INDIRECT("CLOPLOs!G"&amp;ROW()-14))</f>
        <v/>
      </c>
      <c r="G20" s="11">
        <v>17</v>
      </c>
      <c r="H20" s="5"/>
      <c r="I20" s="12"/>
      <c r="J20" s="10" t="str">
        <f t="shared" si="0"/>
        <v/>
      </c>
      <c r="K20" s="11" t="str">
        <f t="shared" si="1"/>
        <v/>
      </c>
      <c r="L20" s="12"/>
      <c r="M20" s="5"/>
      <c r="N20" s="12"/>
      <c r="O20" s="12"/>
      <c r="P20" s="14"/>
      <c r="Q20" s="14"/>
      <c r="R20" s="14"/>
      <c r="S20" s="14"/>
      <c r="T20" s="14"/>
      <c r="U20" s="14"/>
      <c r="V20" s="14"/>
      <c r="W20" s="14"/>
      <c r="X20" s="14"/>
      <c r="Y20" s="14"/>
      <c r="Z20" s="14"/>
    </row>
    <row r="21" spans="1:26" x14ac:dyDescent="0.3">
      <c r="A21" s="14"/>
      <c r="B21" s="14"/>
      <c r="C21" s="20"/>
      <c r="D21" s="14"/>
      <c r="E21" s="14"/>
      <c r="F21" s="14"/>
      <c r="G21" s="11">
        <v>18</v>
      </c>
      <c r="H21" s="5"/>
      <c r="I21" s="12"/>
      <c r="J21" s="10" t="str">
        <f t="shared" si="0"/>
        <v/>
      </c>
      <c r="K21" s="11" t="str">
        <f t="shared" si="1"/>
        <v/>
      </c>
      <c r="L21" s="12"/>
      <c r="M21" s="5"/>
      <c r="N21" s="12"/>
      <c r="O21" s="12"/>
      <c r="P21" s="14"/>
      <c r="Q21" s="14"/>
      <c r="R21" s="14"/>
      <c r="S21" s="14"/>
      <c r="T21" s="14"/>
      <c r="U21" s="14"/>
      <c r="V21" s="14"/>
      <c r="W21" s="14"/>
      <c r="X21" s="14"/>
      <c r="Y21" s="14"/>
      <c r="Z21" s="14"/>
    </row>
    <row r="22" spans="1:26" x14ac:dyDescent="0.3">
      <c r="A22" s="14"/>
      <c r="B22" s="15" t="s">
        <v>220</v>
      </c>
      <c r="C22" s="20"/>
      <c r="D22" s="14"/>
      <c r="E22" s="14"/>
      <c r="F22" s="14"/>
      <c r="G22" s="11">
        <v>19</v>
      </c>
      <c r="H22" s="5"/>
      <c r="I22" s="12"/>
      <c r="J22" s="10" t="str">
        <f t="shared" si="0"/>
        <v/>
      </c>
      <c r="K22" s="11" t="str">
        <f t="shared" si="1"/>
        <v/>
      </c>
      <c r="L22" s="12"/>
      <c r="M22" s="5"/>
      <c r="N22" s="12"/>
      <c r="O22" s="12"/>
      <c r="P22" s="14"/>
      <c r="Q22" s="14"/>
      <c r="R22" s="14"/>
      <c r="S22" s="14"/>
      <c r="T22" s="14"/>
      <c r="U22" s="14"/>
      <c r="V22" s="14"/>
      <c r="W22" s="14"/>
      <c r="X22" s="14"/>
      <c r="Y22" s="14"/>
      <c r="Z22" s="14"/>
    </row>
    <row r="23" spans="1:26" x14ac:dyDescent="0.3">
      <c r="A23" s="14"/>
      <c r="B23" s="4" t="s">
        <v>221</v>
      </c>
      <c r="C23" s="118" t="s">
        <v>222</v>
      </c>
      <c r="D23" s="118"/>
      <c r="E23" s="118"/>
      <c r="F23" s="118"/>
      <c r="G23" s="11">
        <v>20</v>
      </c>
      <c r="H23" s="5"/>
      <c r="I23" s="12"/>
      <c r="J23" s="10" t="str">
        <f t="shared" si="0"/>
        <v/>
      </c>
      <c r="K23" s="11" t="str">
        <f t="shared" si="1"/>
        <v/>
      </c>
      <c r="L23" s="12"/>
      <c r="M23" s="5"/>
      <c r="N23" s="12"/>
      <c r="O23" s="12"/>
      <c r="P23" s="14"/>
      <c r="Q23" s="14"/>
      <c r="R23" s="14"/>
      <c r="S23" s="14"/>
      <c r="T23" s="14"/>
      <c r="U23" s="14"/>
      <c r="V23" s="14"/>
      <c r="W23" s="14"/>
      <c r="X23" s="14"/>
      <c r="Y23" s="14"/>
      <c r="Z23" s="14"/>
    </row>
    <row r="24" spans="1:26" x14ac:dyDescent="0.3">
      <c r="A24" s="14"/>
      <c r="B24" s="9" t="str">
        <f ca="1">IF(INDIRECT("CM!B"&amp; ROW() -22)="","",INDIRECT("CM!B"&amp; ROW() -22))</f>
        <v/>
      </c>
      <c r="C24" s="121" t="str">
        <f ca="1">IF(INDIRECT("CM!C"&amp; ROW() -22)="","",INDIRECT("CM!C"&amp; ROW() -22))</f>
        <v/>
      </c>
      <c r="D24" s="121"/>
      <c r="E24" s="121"/>
      <c r="F24" s="121"/>
      <c r="G24" s="11">
        <v>21</v>
      </c>
      <c r="H24" s="5"/>
      <c r="I24" s="12"/>
      <c r="J24" s="10" t="str">
        <f t="shared" si="0"/>
        <v/>
      </c>
      <c r="K24" s="11" t="str">
        <f t="shared" si="1"/>
        <v/>
      </c>
      <c r="L24" s="12"/>
      <c r="M24" s="5"/>
      <c r="N24" s="12"/>
      <c r="O24" s="12"/>
      <c r="P24" s="14"/>
      <c r="Q24" s="14"/>
      <c r="R24" s="14"/>
      <c r="S24" s="14"/>
      <c r="T24" s="14"/>
      <c r="U24" s="14"/>
      <c r="V24" s="14"/>
      <c r="W24" s="14"/>
      <c r="X24" s="14"/>
      <c r="Y24" s="14"/>
      <c r="Z24" s="14"/>
    </row>
    <row r="25" spans="1:26" x14ac:dyDescent="0.3">
      <c r="A25" s="14"/>
      <c r="B25" s="9" t="str">
        <f t="shared" ref="B25:B88" ca="1" si="3">IF(INDIRECT("CM!B"&amp; ROW() -22)="","",INDIRECT("CM!B"&amp; ROW() -22))</f>
        <v/>
      </c>
      <c r="C25" s="121" t="str">
        <f t="shared" ref="C25:C88" ca="1" si="4">IF(INDIRECT("CM!C"&amp; ROW() -22)="","",INDIRECT("CM!C"&amp; ROW() -22))</f>
        <v/>
      </c>
      <c r="D25" s="121"/>
      <c r="E25" s="121"/>
      <c r="F25" s="121"/>
      <c r="G25" s="11">
        <v>22</v>
      </c>
      <c r="H25" s="5"/>
      <c r="I25" s="12"/>
      <c r="J25" s="10" t="str">
        <f t="shared" si="0"/>
        <v/>
      </c>
      <c r="K25" s="11" t="str">
        <f t="shared" si="1"/>
        <v/>
      </c>
      <c r="L25" s="12"/>
      <c r="M25" s="5"/>
      <c r="N25" s="12"/>
      <c r="O25" s="12"/>
      <c r="P25" s="14"/>
      <c r="Q25" s="14"/>
      <c r="R25" s="14"/>
      <c r="S25" s="14"/>
      <c r="T25" s="14"/>
      <c r="U25" s="14"/>
      <c r="V25" s="14"/>
      <c r="W25" s="14"/>
      <c r="X25" s="14"/>
      <c r="Y25" s="14"/>
      <c r="Z25" s="14"/>
    </row>
    <row r="26" spans="1:26" x14ac:dyDescent="0.3">
      <c r="A26" s="14"/>
      <c r="B26" s="9" t="str">
        <f t="shared" ca="1" si="3"/>
        <v/>
      </c>
      <c r="C26" s="121" t="str">
        <f t="shared" ca="1" si="4"/>
        <v/>
      </c>
      <c r="D26" s="121"/>
      <c r="E26" s="121"/>
      <c r="F26" s="121"/>
      <c r="G26" s="11">
        <v>23</v>
      </c>
      <c r="H26" s="5"/>
      <c r="I26" s="12"/>
      <c r="J26" s="10" t="str">
        <f t="shared" si="0"/>
        <v/>
      </c>
      <c r="K26" s="11" t="str">
        <f t="shared" si="1"/>
        <v/>
      </c>
      <c r="L26" s="12"/>
      <c r="M26" s="5"/>
      <c r="N26" s="12"/>
      <c r="O26" s="12"/>
      <c r="P26" s="14"/>
      <c r="Q26" s="14"/>
      <c r="R26" s="14"/>
      <c r="S26" s="14"/>
      <c r="T26" s="14"/>
      <c r="U26" s="14"/>
      <c r="V26" s="14"/>
      <c r="W26" s="14"/>
      <c r="X26" s="14"/>
      <c r="Y26" s="14"/>
      <c r="Z26" s="14"/>
    </row>
    <row r="27" spans="1:26" x14ac:dyDescent="0.3">
      <c r="A27" s="14"/>
      <c r="B27" s="9" t="str">
        <f t="shared" ca="1" si="3"/>
        <v/>
      </c>
      <c r="C27" s="121" t="str">
        <f t="shared" ca="1" si="4"/>
        <v/>
      </c>
      <c r="D27" s="121"/>
      <c r="E27" s="121"/>
      <c r="F27" s="121"/>
      <c r="G27" s="11">
        <v>24</v>
      </c>
      <c r="H27" s="5"/>
      <c r="I27" s="12"/>
      <c r="J27" s="10" t="str">
        <f t="shared" si="0"/>
        <v/>
      </c>
      <c r="K27" s="11" t="str">
        <f t="shared" si="1"/>
        <v/>
      </c>
      <c r="L27" s="12"/>
      <c r="M27" s="5"/>
      <c r="N27" s="12"/>
      <c r="O27" s="12"/>
      <c r="P27" s="14"/>
      <c r="Q27" s="14"/>
      <c r="R27" s="14"/>
      <c r="S27" s="14"/>
      <c r="T27" s="14"/>
      <c r="U27" s="14"/>
      <c r="V27" s="14"/>
      <c r="W27" s="14"/>
      <c r="X27" s="14"/>
      <c r="Y27" s="14"/>
      <c r="Z27" s="14"/>
    </row>
    <row r="28" spans="1:26" x14ac:dyDescent="0.3">
      <c r="A28" s="14"/>
      <c r="B28" s="9" t="str">
        <f t="shared" ca="1" si="3"/>
        <v/>
      </c>
      <c r="C28" s="121" t="str">
        <f t="shared" ca="1" si="4"/>
        <v/>
      </c>
      <c r="D28" s="121"/>
      <c r="E28" s="121"/>
      <c r="F28" s="121"/>
      <c r="G28" s="11">
        <v>25</v>
      </c>
      <c r="H28" s="5"/>
      <c r="I28" s="12"/>
      <c r="J28" s="10" t="str">
        <f t="shared" si="0"/>
        <v/>
      </c>
      <c r="K28" s="11" t="str">
        <f t="shared" si="1"/>
        <v/>
      </c>
      <c r="L28" s="12"/>
      <c r="M28" s="5"/>
      <c r="N28" s="12"/>
      <c r="O28" s="12"/>
      <c r="P28" s="14"/>
      <c r="Q28" s="14"/>
      <c r="R28" s="14"/>
      <c r="S28" s="14"/>
      <c r="T28" s="14"/>
      <c r="U28" s="14"/>
      <c r="V28" s="14"/>
      <c r="W28" s="14"/>
      <c r="X28" s="14"/>
      <c r="Y28" s="14"/>
      <c r="Z28" s="14"/>
    </row>
    <row r="29" spans="1:26" x14ac:dyDescent="0.3">
      <c r="A29" s="14"/>
      <c r="B29" s="9" t="str">
        <f t="shared" ca="1" si="3"/>
        <v/>
      </c>
      <c r="C29" s="121" t="str">
        <f t="shared" ca="1" si="4"/>
        <v/>
      </c>
      <c r="D29" s="121"/>
      <c r="E29" s="121"/>
      <c r="F29" s="121"/>
      <c r="G29" s="11">
        <v>26</v>
      </c>
      <c r="H29" s="5"/>
      <c r="I29" s="12"/>
      <c r="J29" s="10" t="str">
        <f t="shared" si="0"/>
        <v/>
      </c>
      <c r="K29" s="11" t="str">
        <f t="shared" si="1"/>
        <v/>
      </c>
      <c r="L29" s="12"/>
      <c r="M29" s="5"/>
      <c r="N29" s="12"/>
      <c r="O29" s="12"/>
      <c r="P29" s="14"/>
      <c r="Q29" s="14"/>
      <c r="R29" s="14"/>
      <c r="S29" s="14"/>
      <c r="T29" s="14"/>
      <c r="U29" s="14"/>
      <c r="V29" s="14"/>
      <c r="W29" s="14"/>
      <c r="X29" s="14"/>
      <c r="Y29" s="14"/>
      <c r="Z29" s="14"/>
    </row>
    <row r="30" spans="1:26" x14ac:dyDescent="0.3">
      <c r="A30" s="14"/>
      <c r="B30" s="9" t="str">
        <f t="shared" ca="1" si="3"/>
        <v/>
      </c>
      <c r="C30" s="121" t="str">
        <f t="shared" ca="1" si="4"/>
        <v/>
      </c>
      <c r="D30" s="121"/>
      <c r="E30" s="121"/>
      <c r="F30" s="121"/>
      <c r="G30" s="11">
        <v>27</v>
      </c>
      <c r="H30" s="5"/>
      <c r="I30" s="12"/>
      <c r="J30" s="10" t="str">
        <f t="shared" si="0"/>
        <v/>
      </c>
      <c r="K30" s="11" t="str">
        <f t="shared" si="1"/>
        <v/>
      </c>
      <c r="L30" s="12"/>
      <c r="M30" s="5"/>
      <c r="N30" s="12"/>
      <c r="O30" s="12"/>
      <c r="P30" s="14"/>
      <c r="Q30" s="14"/>
      <c r="R30" s="14"/>
      <c r="S30" s="14"/>
      <c r="T30" s="14"/>
      <c r="U30" s="14"/>
      <c r="V30" s="14"/>
      <c r="W30" s="14"/>
      <c r="X30" s="14"/>
      <c r="Y30" s="14"/>
      <c r="Z30" s="14"/>
    </row>
    <row r="31" spans="1:26" x14ac:dyDescent="0.3">
      <c r="A31" s="14"/>
      <c r="B31" s="9" t="str">
        <f t="shared" ca="1" si="3"/>
        <v/>
      </c>
      <c r="C31" s="121" t="str">
        <f t="shared" ca="1" si="4"/>
        <v/>
      </c>
      <c r="D31" s="121"/>
      <c r="E31" s="121"/>
      <c r="F31" s="121"/>
      <c r="G31" s="11">
        <v>28</v>
      </c>
      <c r="H31" s="5"/>
      <c r="I31" s="12"/>
      <c r="J31" s="10" t="str">
        <f t="shared" si="0"/>
        <v/>
      </c>
      <c r="K31" s="11" t="str">
        <f t="shared" si="1"/>
        <v/>
      </c>
      <c r="L31" s="12"/>
      <c r="M31" s="5"/>
      <c r="N31" s="12"/>
      <c r="O31" s="12"/>
      <c r="P31" s="14"/>
      <c r="Q31" s="14"/>
      <c r="R31" s="14"/>
      <c r="S31" s="14"/>
      <c r="T31" s="14"/>
      <c r="U31" s="14"/>
      <c r="V31" s="14"/>
      <c r="W31" s="14"/>
      <c r="X31" s="14"/>
      <c r="Y31" s="14"/>
      <c r="Z31" s="14"/>
    </row>
    <row r="32" spans="1:26" x14ac:dyDescent="0.3">
      <c r="A32" s="14"/>
      <c r="B32" s="9" t="str">
        <f t="shared" ca="1" si="3"/>
        <v/>
      </c>
      <c r="C32" s="121" t="str">
        <f t="shared" ca="1" si="4"/>
        <v/>
      </c>
      <c r="D32" s="121"/>
      <c r="E32" s="121"/>
      <c r="F32" s="121"/>
      <c r="G32" s="11">
        <v>29</v>
      </c>
      <c r="H32" s="5"/>
      <c r="I32" s="12"/>
      <c r="J32" s="10" t="str">
        <f t="shared" si="0"/>
        <v/>
      </c>
      <c r="K32" s="11" t="str">
        <f t="shared" si="1"/>
        <v/>
      </c>
      <c r="L32" s="12"/>
      <c r="M32" s="5"/>
      <c r="N32" s="12"/>
      <c r="O32" s="12"/>
      <c r="P32" s="14"/>
      <c r="Q32" s="14"/>
      <c r="R32" s="14"/>
      <c r="S32" s="14"/>
      <c r="T32" s="14"/>
      <c r="U32" s="14"/>
      <c r="V32" s="14"/>
      <c r="W32" s="14"/>
      <c r="X32" s="14"/>
      <c r="Y32" s="14"/>
      <c r="Z32" s="14"/>
    </row>
    <row r="33" spans="1:26" x14ac:dyDescent="0.3">
      <c r="A33" s="14"/>
      <c r="B33" s="9" t="str">
        <f t="shared" ca="1" si="3"/>
        <v/>
      </c>
      <c r="C33" s="121" t="str">
        <f t="shared" ca="1" si="4"/>
        <v/>
      </c>
      <c r="D33" s="121"/>
      <c r="E33" s="121"/>
      <c r="F33" s="121"/>
      <c r="G33" s="11">
        <v>30</v>
      </c>
      <c r="H33" s="5"/>
      <c r="I33" s="12"/>
      <c r="J33" s="10" t="str">
        <f t="shared" si="0"/>
        <v/>
      </c>
      <c r="K33" s="11" t="str">
        <f t="shared" si="1"/>
        <v/>
      </c>
      <c r="L33" s="12"/>
      <c r="M33" s="5"/>
      <c r="N33" s="12"/>
      <c r="O33" s="12"/>
      <c r="P33" s="14"/>
      <c r="Q33" s="14"/>
      <c r="R33" s="14"/>
      <c r="S33" s="14"/>
      <c r="T33" s="14"/>
      <c r="U33" s="14"/>
      <c r="V33" s="14"/>
      <c r="W33" s="14"/>
      <c r="X33" s="14"/>
      <c r="Y33" s="14"/>
      <c r="Z33" s="14"/>
    </row>
    <row r="34" spans="1:26" x14ac:dyDescent="0.3">
      <c r="A34" s="14"/>
      <c r="B34" s="9" t="str">
        <f t="shared" ca="1" si="3"/>
        <v/>
      </c>
      <c r="C34" s="121" t="str">
        <f t="shared" ca="1" si="4"/>
        <v/>
      </c>
      <c r="D34" s="121"/>
      <c r="E34" s="121"/>
      <c r="F34" s="121"/>
      <c r="G34" s="11">
        <v>31</v>
      </c>
      <c r="H34" s="5"/>
      <c r="I34" s="12"/>
      <c r="J34" s="10" t="str">
        <f t="shared" si="0"/>
        <v/>
      </c>
      <c r="K34" s="11" t="str">
        <f t="shared" si="1"/>
        <v/>
      </c>
      <c r="L34" s="12"/>
      <c r="M34" s="5"/>
      <c r="N34" s="12"/>
      <c r="O34" s="12"/>
      <c r="Q34" s="14"/>
      <c r="R34" s="14"/>
      <c r="S34" s="14"/>
      <c r="T34" s="14"/>
      <c r="U34" s="14"/>
      <c r="V34" s="14"/>
      <c r="W34" s="14"/>
      <c r="X34" s="14"/>
      <c r="Y34" s="14"/>
      <c r="Z34" s="14"/>
    </row>
    <row r="35" spans="1:26" x14ac:dyDescent="0.3">
      <c r="A35" s="14"/>
      <c r="B35" s="9" t="str">
        <f t="shared" ca="1" si="3"/>
        <v/>
      </c>
      <c r="C35" s="121" t="str">
        <f t="shared" ca="1" si="4"/>
        <v/>
      </c>
      <c r="D35" s="121"/>
      <c r="E35" s="121"/>
      <c r="F35" s="121"/>
      <c r="G35" s="11">
        <v>32</v>
      </c>
      <c r="H35" s="5"/>
      <c r="I35" s="12"/>
      <c r="J35" s="10" t="str">
        <f t="shared" si="0"/>
        <v/>
      </c>
      <c r="K35" s="11" t="str">
        <f t="shared" si="1"/>
        <v/>
      </c>
      <c r="L35" s="12"/>
      <c r="M35" s="5"/>
      <c r="N35" s="12"/>
      <c r="O35" s="12"/>
      <c r="P35" s="14"/>
      <c r="Q35" s="14"/>
      <c r="R35" s="14"/>
      <c r="S35" s="14"/>
      <c r="T35" s="14"/>
      <c r="U35" s="14"/>
      <c r="V35" s="14"/>
      <c r="W35" s="14"/>
      <c r="X35" s="14"/>
      <c r="Y35" s="14"/>
      <c r="Z35" s="14"/>
    </row>
    <row r="36" spans="1:26" x14ac:dyDescent="0.3">
      <c r="A36" s="14"/>
      <c r="B36" s="9" t="str">
        <f t="shared" ca="1" si="3"/>
        <v/>
      </c>
      <c r="C36" s="121" t="str">
        <f t="shared" ca="1" si="4"/>
        <v/>
      </c>
      <c r="D36" s="121"/>
      <c r="E36" s="121"/>
      <c r="F36" s="121"/>
      <c r="G36" s="11">
        <v>33</v>
      </c>
      <c r="H36" s="5"/>
      <c r="I36" s="12"/>
      <c r="J36" s="10" t="str">
        <f t="shared" ref="J36:J53" si="5">IFERROR(VLOOKUP(H36,$AY$1:$AZ$13,2,FALSE),"")</f>
        <v/>
      </c>
      <c r="K36" s="11" t="str">
        <f t="shared" ref="K36:K53" si="6">_xlfn.IFNA(VLOOKUP(H36,$AY$1:$BA$13,3,FALSE),"")</f>
        <v/>
      </c>
      <c r="L36" s="12"/>
      <c r="M36" s="5"/>
      <c r="N36" s="12"/>
      <c r="O36" s="12"/>
      <c r="P36" s="14"/>
      <c r="Q36" s="14"/>
      <c r="R36" s="14"/>
      <c r="S36" s="14"/>
      <c r="T36" s="14"/>
      <c r="U36" s="14"/>
      <c r="V36" s="14"/>
      <c r="W36" s="14"/>
      <c r="X36" s="14"/>
      <c r="Y36" s="14"/>
      <c r="Z36" s="14"/>
    </row>
    <row r="37" spans="1:26" x14ac:dyDescent="0.3">
      <c r="A37" s="14"/>
      <c r="B37" s="9" t="str">
        <f t="shared" ca="1" si="3"/>
        <v/>
      </c>
      <c r="C37" s="121" t="str">
        <f t="shared" ca="1" si="4"/>
        <v/>
      </c>
      <c r="D37" s="121"/>
      <c r="E37" s="121"/>
      <c r="F37" s="121"/>
      <c r="G37" s="11">
        <v>34</v>
      </c>
      <c r="H37" s="5"/>
      <c r="I37" s="12"/>
      <c r="J37" s="10" t="str">
        <f t="shared" si="5"/>
        <v/>
      </c>
      <c r="K37" s="11" t="str">
        <f t="shared" si="6"/>
        <v/>
      </c>
      <c r="L37" s="12"/>
      <c r="M37" s="5"/>
      <c r="N37" s="12"/>
      <c r="O37" s="12"/>
      <c r="P37" s="14"/>
      <c r="Q37" s="14"/>
      <c r="R37" s="14"/>
      <c r="S37" s="14"/>
      <c r="T37" s="14"/>
      <c r="U37" s="14"/>
      <c r="V37" s="14"/>
      <c r="W37" s="14"/>
      <c r="X37" s="14"/>
      <c r="Y37" s="14"/>
      <c r="Z37" s="14"/>
    </row>
    <row r="38" spans="1:26" x14ac:dyDescent="0.3">
      <c r="A38" s="14"/>
      <c r="B38" s="9" t="str">
        <f t="shared" ca="1" si="3"/>
        <v/>
      </c>
      <c r="C38" s="121" t="str">
        <f t="shared" ca="1" si="4"/>
        <v/>
      </c>
      <c r="D38" s="121"/>
      <c r="E38" s="121"/>
      <c r="F38" s="121"/>
      <c r="G38" s="11">
        <v>35</v>
      </c>
      <c r="H38" s="5"/>
      <c r="I38" s="12"/>
      <c r="J38" s="10" t="str">
        <f t="shared" si="5"/>
        <v/>
      </c>
      <c r="K38" s="11" t="str">
        <f t="shared" si="6"/>
        <v/>
      </c>
      <c r="L38" s="12"/>
      <c r="M38" s="5"/>
      <c r="N38" s="12"/>
      <c r="O38" s="12"/>
      <c r="P38" s="14"/>
      <c r="Q38" s="14"/>
      <c r="R38" s="14"/>
      <c r="S38" s="14"/>
      <c r="T38" s="14"/>
      <c r="U38" s="14"/>
      <c r="V38" s="14"/>
      <c r="W38" s="14"/>
      <c r="X38" s="14"/>
      <c r="Y38" s="14"/>
      <c r="Z38" s="14"/>
    </row>
    <row r="39" spans="1:26" x14ac:dyDescent="0.3">
      <c r="A39" s="14"/>
      <c r="B39" s="9" t="str">
        <f t="shared" ca="1" si="3"/>
        <v/>
      </c>
      <c r="C39" s="121" t="str">
        <f t="shared" ca="1" si="4"/>
        <v/>
      </c>
      <c r="D39" s="121"/>
      <c r="E39" s="121"/>
      <c r="F39" s="121"/>
      <c r="G39" s="11">
        <v>36</v>
      </c>
      <c r="H39" s="5"/>
      <c r="I39" s="12"/>
      <c r="J39" s="10" t="str">
        <f t="shared" si="5"/>
        <v/>
      </c>
      <c r="K39" s="11" t="str">
        <f t="shared" si="6"/>
        <v/>
      </c>
      <c r="L39" s="12"/>
      <c r="M39" s="5"/>
      <c r="N39" s="12"/>
      <c r="O39" s="12"/>
      <c r="P39" s="14"/>
      <c r="Q39" s="14"/>
      <c r="R39" s="14"/>
      <c r="S39" s="14"/>
      <c r="T39" s="14"/>
      <c r="U39" s="14"/>
      <c r="V39" s="14"/>
      <c r="W39" s="14"/>
      <c r="X39" s="14"/>
      <c r="Y39" s="14"/>
      <c r="Z39" s="14"/>
    </row>
    <row r="40" spans="1:26" x14ac:dyDescent="0.3">
      <c r="A40" s="14"/>
      <c r="B40" s="9" t="str">
        <f t="shared" ca="1" si="3"/>
        <v/>
      </c>
      <c r="C40" s="121" t="str">
        <f t="shared" ca="1" si="4"/>
        <v/>
      </c>
      <c r="D40" s="121"/>
      <c r="E40" s="121"/>
      <c r="F40" s="121"/>
      <c r="G40" s="11">
        <v>37</v>
      </c>
      <c r="H40" s="5"/>
      <c r="I40" s="12"/>
      <c r="J40" s="10" t="str">
        <f t="shared" si="5"/>
        <v/>
      </c>
      <c r="K40" s="11" t="str">
        <f t="shared" si="6"/>
        <v/>
      </c>
      <c r="L40" s="12"/>
      <c r="M40" s="5"/>
      <c r="N40" s="12"/>
      <c r="O40" s="12"/>
      <c r="P40" s="14"/>
      <c r="Q40" s="14"/>
      <c r="R40" s="14"/>
      <c r="S40" s="14"/>
      <c r="T40" s="14"/>
      <c r="U40" s="14"/>
      <c r="V40" s="14"/>
      <c r="W40" s="14"/>
      <c r="X40" s="14"/>
      <c r="Y40" s="14"/>
      <c r="Z40" s="14"/>
    </row>
    <row r="41" spans="1:26" x14ac:dyDescent="0.3">
      <c r="A41" s="14"/>
      <c r="B41" s="9" t="str">
        <f t="shared" ca="1" si="3"/>
        <v/>
      </c>
      <c r="C41" s="121" t="str">
        <f t="shared" ca="1" si="4"/>
        <v/>
      </c>
      <c r="D41" s="121"/>
      <c r="E41" s="121"/>
      <c r="F41" s="121"/>
      <c r="G41" s="11">
        <v>38</v>
      </c>
      <c r="H41" s="5"/>
      <c r="I41" s="12"/>
      <c r="J41" s="10" t="str">
        <f t="shared" si="5"/>
        <v/>
      </c>
      <c r="K41" s="11" t="str">
        <f t="shared" si="6"/>
        <v/>
      </c>
      <c r="L41" s="12"/>
      <c r="M41" s="5"/>
      <c r="N41" s="12"/>
      <c r="O41" s="12"/>
      <c r="P41" s="14"/>
      <c r="Q41" s="14"/>
      <c r="R41" s="14"/>
      <c r="S41" s="14"/>
      <c r="T41" s="14"/>
      <c r="U41" s="14"/>
      <c r="V41" s="14"/>
      <c r="W41" s="14"/>
      <c r="X41" s="14"/>
      <c r="Y41" s="14"/>
      <c r="Z41" s="14"/>
    </row>
    <row r="42" spans="1:26" x14ac:dyDescent="0.3">
      <c r="A42" s="14"/>
      <c r="B42" s="9" t="str">
        <f t="shared" ca="1" si="3"/>
        <v/>
      </c>
      <c r="C42" s="121" t="str">
        <f t="shared" ca="1" si="4"/>
        <v/>
      </c>
      <c r="D42" s="121"/>
      <c r="E42" s="121"/>
      <c r="F42" s="121"/>
      <c r="G42" s="11">
        <v>39</v>
      </c>
      <c r="H42" s="5"/>
      <c r="I42" s="12"/>
      <c r="J42" s="10" t="str">
        <f t="shared" si="5"/>
        <v/>
      </c>
      <c r="K42" s="11" t="str">
        <f t="shared" si="6"/>
        <v/>
      </c>
      <c r="L42" s="12"/>
      <c r="M42" s="5"/>
      <c r="N42" s="12"/>
      <c r="O42" s="12"/>
      <c r="P42" s="14"/>
      <c r="Q42" s="14"/>
      <c r="R42" s="14"/>
      <c r="S42" s="14"/>
      <c r="T42" s="14"/>
      <c r="U42" s="14"/>
      <c r="V42" s="14"/>
      <c r="W42" s="14"/>
      <c r="X42" s="14"/>
      <c r="Y42" s="14"/>
      <c r="Z42" s="14"/>
    </row>
    <row r="43" spans="1:26" x14ac:dyDescent="0.3">
      <c r="A43" s="14"/>
      <c r="B43" s="9" t="str">
        <f t="shared" ca="1" si="3"/>
        <v/>
      </c>
      <c r="C43" s="121" t="str">
        <f t="shared" ca="1" si="4"/>
        <v/>
      </c>
      <c r="D43" s="121"/>
      <c r="E43" s="121"/>
      <c r="F43" s="121"/>
      <c r="G43" s="11">
        <v>40</v>
      </c>
      <c r="H43" s="5"/>
      <c r="I43" s="12"/>
      <c r="J43" s="10" t="str">
        <f t="shared" si="5"/>
        <v/>
      </c>
      <c r="K43" s="11" t="str">
        <f t="shared" si="6"/>
        <v/>
      </c>
      <c r="L43" s="12"/>
      <c r="M43" s="5"/>
      <c r="N43" s="12"/>
      <c r="O43" s="12"/>
      <c r="P43" s="14"/>
      <c r="Q43" s="14"/>
      <c r="R43" s="14"/>
      <c r="S43" s="14"/>
      <c r="T43" s="14"/>
      <c r="U43" s="14"/>
      <c r="V43" s="14"/>
      <c r="W43" s="14"/>
      <c r="X43" s="14"/>
      <c r="Y43" s="14"/>
      <c r="Z43" s="14"/>
    </row>
    <row r="44" spans="1:26" x14ac:dyDescent="0.3">
      <c r="A44" s="14"/>
      <c r="B44" s="9" t="str">
        <f t="shared" ca="1" si="3"/>
        <v/>
      </c>
      <c r="C44" s="121" t="str">
        <f t="shared" ca="1" si="4"/>
        <v/>
      </c>
      <c r="D44" s="121"/>
      <c r="E44" s="121"/>
      <c r="F44" s="121"/>
      <c r="G44" s="11">
        <v>41</v>
      </c>
      <c r="H44" s="5"/>
      <c r="I44" s="12"/>
      <c r="J44" s="10" t="str">
        <f t="shared" si="5"/>
        <v/>
      </c>
      <c r="K44" s="11" t="str">
        <f t="shared" si="6"/>
        <v/>
      </c>
      <c r="L44" s="12"/>
      <c r="M44" s="5"/>
      <c r="N44" s="12"/>
      <c r="O44" s="12"/>
      <c r="P44" s="14"/>
      <c r="Q44" s="14"/>
      <c r="R44" s="14"/>
      <c r="S44" s="14"/>
      <c r="T44" s="14"/>
      <c r="U44" s="14"/>
      <c r="V44" s="14"/>
      <c r="W44" s="14"/>
      <c r="X44" s="14"/>
      <c r="Y44" s="14"/>
      <c r="Z44" s="14"/>
    </row>
    <row r="45" spans="1:26" x14ac:dyDescent="0.3">
      <c r="A45" s="14"/>
      <c r="B45" s="9" t="str">
        <f t="shared" ca="1" si="3"/>
        <v/>
      </c>
      <c r="C45" s="121" t="str">
        <f t="shared" ca="1" si="4"/>
        <v/>
      </c>
      <c r="D45" s="121"/>
      <c r="E45" s="121"/>
      <c r="F45" s="121"/>
      <c r="G45" s="11">
        <v>42</v>
      </c>
      <c r="H45" s="5"/>
      <c r="I45" s="12"/>
      <c r="J45" s="10" t="str">
        <f t="shared" si="5"/>
        <v/>
      </c>
      <c r="K45" s="11" t="str">
        <f t="shared" si="6"/>
        <v/>
      </c>
      <c r="L45" s="12"/>
      <c r="M45" s="5"/>
      <c r="N45" s="12"/>
      <c r="O45" s="12"/>
      <c r="P45" s="14"/>
      <c r="Q45" s="14"/>
      <c r="R45" s="14"/>
      <c r="S45" s="14"/>
      <c r="T45" s="14"/>
      <c r="U45" s="14"/>
      <c r="V45" s="14"/>
      <c r="W45" s="14"/>
      <c r="X45" s="14"/>
      <c r="Y45" s="14"/>
      <c r="Z45" s="14"/>
    </row>
    <row r="46" spans="1:26" x14ac:dyDescent="0.3">
      <c r="A46" s="14"/>
      <c r="B46" s="9" t="str">
        <f t="shared" ca="1" si="3"/>
        <v/>
      </c>
      <c r="C46" s="121" t="str">
        <f t="shared" ca="1" si="4"/>
        <v/>
      </c>
      <c r="D46" s="121"/>
      <c r="E46" s="121"/>
      <c r="F46" s="121"/>
      <c r="G46" s="11">
        <v>43</v>
      </c>
      <c r="H46" s="5"/>
      <c r="I46" s="12"/>
      <c r="J46" s="10" t="str">
        <f t="shared" si="5"/>
        <v/>
      </c>
      <c r="K46" s="11" t="str">
        <f t="shared" si="6"/>
        <v/>
      </c>
      <c r="L46" s="12"/>
      <c r="M46" s="5"/>
      <c r="N46" s="12"/>
      <c r="O46" s="12"/>
      <c r="P46" s="14"/>
      <c r="Q46" s="14"/>
      <c r="R46" s="14"/>
      <c r="S46" s="14"/>
      <c r="T46" s="14"/>
      <c r="U46" s="14"/>
      <c r="V46" s="14"/>
      <c r="W46" s="14"/>
      <c r="X46" s="14"/>
      <c r="Y46" s="14"/>
      <c r="Z46" s="14"/>
    </row>
    <row r="47" spans="1:26" x14ac:dyDescent="0.3">
      <c r="A47" s="14"/>
      <c r="B47" s="9" t="str">
        <f t="shared" ca="1" si="3"/>
        <v/>
      </c>
      <c r="C47" s="121" t="str">
        <f t="shared" ca="1" si="4"/>
        <v/>
      </c>
      <c r="D47" s="121"/>
      <c r="E47" s="121"/>
      <c r="F47" s="121"/>
      <c r="G47" s="11">
        <v>44</v>
      </c>
      <c r="H47" s="5"/>
      <c r="I47" s="12"/>
      <c r="J47" s="10" t="str">
        <f t="shared" si="5"/>
        <v/>
      </c>
      <c r="K47" s="11" t="str">
        <f t="shared" si="6"/>
        <v/>
      </c>
      <c r="L47" s="12"/>
      <c r="M47" s="5"/>
      <c r="N47" s="12"/>
      <c r="O47" s="12"/>
      <c r="P47" s="14"/>
      <c r="Q47" s="14"/>
      <c r="R47" s="14"/>
      <c r="S47" s="14"/>
      <c r="T47" s="14"/>
      <c r="U47" s="14"/>
      <c r="V47" s="14"/>
      <c r="W47" s="14"/>
      <c r="X47" s="14"/>
      <c r="Y47" s="14"/>
      <c r="Z47" s="14"/>
    </row>
    <row r="48" spans="1:26" x14ac:dyDescent="0.3">
      <c r="A48" s="14"/>
      <c r="B48" s="9" t="str">
        <f t="shared" ca="1" si="3"/>
        <v/>
      </c>
      <c r="C48" s="121" t="str">
        <f t="shared" ca="1" si="4"/>
        <v/>
      </c>
      <c r="D48" s="121"/>
      <c r="E48" s="121"/>
      <c r="F48" s="121"/>
      <c r="G48" s="11">
        <v>45</v>
      </c>
      <c r="H48" s="5"/>
      <c r="I48" s="12"/>
      <c r="J48" s="10" t="str">
        <f t="shared" si="5"/>
        <v/>
      </c>
      <c r="K48" s="11" t="str">
        <f t="shared" si="6"/>
        <v/>
      </c>
      <c r="L48" s="12"/>
      <c r="M48" s="5"/>
      <c r="N48" s="12"/>
      <c r="O48" s="12"/>
      <c r="P48" s="14"/>
      <c r="Q48" s="14"/>
      <c r="R48" s="14"/>
      <c r="S48" s="14"/>
      <c r="T48" s="14"/>
      <c r="U48" s="14"/>
      <c r="V48" s="14"/>
      <c r="W48" s="14"/>
      <c r="X48" s="14"/>
      <c r="Y48" s="14"/>
      <c r="Z48" s="14"/>
    </row>
    <row r="49" spans="1:26" x14ac:dyDescent="0.3">
      <c r="A49" s="14"/>
      <c r="B49" s="9" t="str">
        <f t="shared" ca="1" si="3"/>
        <v/>
      </c>
      <c r="C49" s="121" t="str">
        <f t="shared" ca="1" si="4"/>
        <v/>
      </c>
      <c r="D49" s="121"/>
      <c r="E49" s="121"/>
      <c r="F49" s="121"/>
      <c r="G49" s="11">
        <v>46</v>
      </c>
      <c r="H49" s="5"/>
      <c r="I49" s="12"/>
      <c r="J49" s="10" t="str">
        <f t="shared" si="5"/>
        <v/>
      </c>
      <c r="K49" s="11" t="str">
        <f t="shared" si="6"/>
        <v/>
      </c>
      <c r="L49" s="12"/>
      <c r="M49" s="5"/>
      <c r="N49" s="12"/>
      <c r="O49" s="12"/>
      <c r="P49" s="14"/>
      <c r="Q49" s="14"/>
      <c r="R49" s="14"/>
      <c r="S49" s="14"/>
      <c r="T49" s="14"/>
      <c r="U49" s="14"/>
      <c r="V49" s="14"/>
      <c r="W49" s="14"/>
      <c r="X49" s="14"/>
      <c r="Y49" s="14"/>
      <c r="Z49" s="14"/>
    </row>
    <row r="50" spans="1:26" x14ac:dyDescent="0.3">
      <c r="A50" s="14"/>
      <c r="B50" s="9" t="str">
        <f t="shared" ca="1" si="3"/>
        <v/>
      </c>
      <c r="C50" s="121" t="str">
        <f t="shared" ca="1" si="4"/>
        <v/>
      </c>
      <c r="D50" s="121"/>
      <c r="E50" s="121"/>
      <c r="F50" s="121"/>
      <c r="G50" s="11">
        <v>47</v>
      </c>
      <c r="H50" s="5"/>
      <c r="I50" s="12"/>
      <c r="J50" s="10" t="str">
        <f t="shared" si="5"/>
        <v/>
      </c>
      <c r="K50" s="11" t="str">
        <f t="shared" si="6"/>
        <v/>
      </c>
      <c r="L50" s="12"/>
      <c r="M50" s="5"/>
      <c r="N50" s="12"/>
      <c r="O50" s="12"/>
      <c r="P50" s="14"/>
      <c r="Q50" s="14"/>
      <c r="R50" s="14"/>
      <c r="S50" s="14"/>
      <c r="T50" s="14"/>
      <c r="U50" s="14"/>
      <c r="V50" s="14"/>
      <c r="W50" s="14"/>
      <c r="X50" s="14"/>
      <c r="Y50" s="14"/>
      <c r="Z50" s="14"/>
    </row>
    <row r="51" spans="1:26" x14ac:dyDescent="0.3">
      <c r="A51" s="14"/>
      <c r="B51" s="9" t="str">
        <f t="shared" ca="1" si="3"/>
        <v/>
      </c>
      <c r="C51" s="121" t="str">
        <f t="shared" ca="1" si="4"/>
        <v/>
      </c>
      <c r="D51" s="121"/>
      <c r="E51" s="121"/>
      <c r="F51" s="121"/>
      <c r="G51" s="11">
        <v>48</v>
      </c>
      <c r="H51" s="5"/>
      <c r="I51" s="12"/>
      <c r="J51" s="10" t="str">
        <f t="shared" si="5"/>
        <v/>
      </c>
      <c r="K51" s="11" t="str">
        <f t="shared" si="6"/>
        <v/>
      </c>
      <c r="L51" s="12"/>
      <c r="M51" s="5"/>
      <c r="N51" s="12"/>
      <c r="O51" s="12"/>
      <c r="P51" s="14"/>
      <c r="Q51" s="14"/>
      <c r="R51" s="14"/>
      <c r="S51" s="14"/>
      <c r="T51" s="14"/>
      <c r="U51" s="14"/>
      <c r="V51" s="14"/>
      <c r="W51" s="14"/>
      <c r="X51" s="14"/>
      <c r="Y51" s="14"/>
      <c r="Z51" s="14"/>
    </row>
    <row r="52" spans="1:26" x14ac:dyDescent="0.3">
      <c r="A52" s="14"/>
      <c r="B52" s="9" t="str">
        <f t="shared" ca="1" si="3"/>
        <v/>
      </c>
      <c r="C52" s="121" t="str">
        <f t="shared" ca="1" si="4"/>
        <v/>
      </c>
      <c r="D52" s="121"/>
      <c r="E52" s="121"/>
      <c r="F52" s="121"/>
      <c r="G52" s="11">
        <v>49</v>
      </c>
      <c r="H52" s="5"/>
      <c r="I52" s="12"/>
      <c r="J52" s="10" t="str">
        <f t="shared" si="5"/>
        <v/>
      </c>
      <c r="K52" s="11" t="str">
        <f t="shared" si="6"/>
        <v/>
      </c>
      <c r="L52" s="12"/>
      <c r="M52" s="5"/>
      <c r="N52" s="12"/>
      <c r="O52" s="12"/>
      <c r="P52" s="14"/>
      <c r="Q52" s="14"/>
      <c r="R52" s="14"/>
      <c r="S52" s="14"/>
      <c r="T52" s="14"/>
      <c r="U52" s="14"/>
      <c r="V52" s="14"/>
      <c r="W52" s="14"/>
      <c r="X52" s="14"/>
      <c r="Y52" s="14"/>
      <c r="Z52" s="14"/>
    </row>
    <row r="53" spans="1:26" x14ac:dyDescent="0.3">
      <c r="A53" s="14"/>
      <c r="B53" s="9" t="str">
        <f t="shared" ca="1" si="3"/>
        <v/>
      </c>
      <c r="C53" s="121" t="str">
        <f t="shared" ca="1" si="4"/>
        <v/>
      </c>
      <c r="D53" s="121"/>
      <c r="E53" s="121"/>
      <c r="F53" s="121"/>
      <c r="G53" s="11">
        <v>50</v>
      </c>
      <c r="H53" s="5"/>
      <c r="I53" s="12"/>
      <c r="J53" s="10" t="str">
        <f t="shared" si="5"/>
        <v/>
      </c>
      <c r="K53" s="11" t="str">
        <f t="shared" si="6"/>
        <v/>
      </c>
      <c r="L53" s="12"/>
      <c r="M53" s="5"/>
      <c r="N53" s="12"/>
      <c r="O53" s="12"/>
      <c r="P53" s="14"/>
      <c r="Q53" s="14"/>
      <c r="R53" s="14"/>
      <c r="S53" s="14"/>
      <c r="T53" s="14"/>
      <c r="U53" s="14"/>
      <c r="V53" s="14"/>
      <c r="W53" s="14"/>
      <c r="X53" s="14"/>
      <c r="Y53" s="14"/>
      <c r="Z53" s="14"/>
    </row>
    <row r="54" spans="1:26" x14ac:dyDescent="0.3">
      <c r="A54" s="14"/>
      <c r="B54" s="9" t="str">
        <f t="shared" ca="1" si="3"/>
        <v/>
      </c>
      <c r="C54" s="121" t="str">
        <f t="shared" ca="1" si="4"/>
        <v/>
      </c>
      <c r="D54" s="121"/>
      <c r="E54" s="121"/>
      <c r="F54" s="121"/>
      <c r="G54" s="14"/>
      <c r="H54" s="14"/>
      <c r="I54" s="14"/>
      <c r="J54" s="14"/>
      <c r="K54" s="14"/>
      <c r="L54" s="14"/>
      <c r="M54" s="14"/>
      <c r="N54" s="16" t="s">
        <v>336</v>
      </c>
      <c r="O54" s="21">
        <f>SUM(O4:O53)</f>
        <v>99.8</v>
      </c>
      <c r="P54" s="16" t="s">
        <v>335</v>
      </c>
      <c r="Q54" s="14"/>
      <c r="R54" s="14"/>
      <c r="S54" s="14"/>
      <c r="T54" s="14"/>
      <c r="U54" s="14"/>
      <c r="V54" s="14"/>
      <c r="W54" s="14"/>
      <c r="X54" s="14"/>
      <c r="Y54" s="14"/>
      <c r="Z54" s="14"/>
    </row>
    <row r="55" spans="1:26" x14ac:dyDescent="0.3">
      <c r="A55" s="14"/>
      <c r="B55" s="9" t="str">
        <f t="shared" ca="1" si="3"/>
        <v/>
      </c>
      <c r="C55" s="121" t="str">
        <f t="shared" ca="1" si="4"/>
        <v/>
      </c>
      <c r="D55" s="121"/>
      <c r="E55" s="121"/>
      <c r="F55" s="121"/>
      <c r="G55" s="14"/>
      <c r="H55" s="14"/>
      <c r="I55" s="14"/>
      <c r="J55" s="14"/>
      <c r="K55" s="14"/>
      <c r="L55" s="14"/>
      <c r="M55" s="14"/>
      <c r="N55" s="14"/>
      <c r="O55" s="14"/>
      <c r="P55" s="14"/>
      <c r="Q55" s="14"/>
      <c r="R55" s="14"/>
      <c r="S55" s="14"/>
      <c r="T55" s="14"/>
      <c r="U55" s="14"/>
      <c r="V55" s="14"/>
      <c r="W55" s="14"/>
      <c r="X55" s="14"/>
      <c r="Y55" s="14"/>
      <c r="Z55" s="14"/>
    </row>
    <row r="56" spans="1:26" x14ac:dyDescent="0.3">
      <c r="A56" s="14"/>
      <c r="B56" s="9" t="str">
        <f t="shared" ca="1" si="3"/>
        <v/>
      </c>
      <c r="C56" s="121" t="str">
        <f t="shared" ca="1" si="4"/>
        <v/>
      </c>
      <c r="D56" s="121"/>
      <c r="E56" s="121"/>
      <c r="F56" s="121"/>
      <c r="G56" s="14"/>
      <c r="H56" s="14"/>
      <c r="I56" s="14"/>
      <c r="J56" s="14"/>
      <c r="K56" s="14"/>
      <c r="L56" s="14"/>
      <c r="M56" s="14"/>
      <c r="N56" s="14"/>
      <c r="O56" s="14"/>
      <c r="P56" s="14"/>
      <c r="Q56" s="14"/>
      <c r="R56" s="14"/>
      <c r="S56" s="14"/>
      <c r="T56" s="14"/>
      <c r="U56" s="14"/>
      <c r="V56" s="14"/>
      <c r="W56" s="14"/>
      <c r="X56" s="14"/>
      <c r="Y56" s="14"/>
      <c r="Z56" s="14"/>
    </row>
    <row r="57" spans="1:26" x14ac:dyDescent="0.3">
      <c r="A57" s="14"/>
      <c r="B57" s="9" t="str">
        <f t="shared" ca="1" si="3"/>
        <v/>
      </c>
      <c r="C57" s="121" t="str">
        <f t="shared" ca="1" si="4"/>
        <v/>
      </c>
      <c r="D57" s="121"/>
      <c r="E57" s="121"/>
      <c r="F57" s="121"/>
      <c r="G57" s="14"/>
      <c r="H57" s="14"/>
      <c r="I57" s="14"/>
      <c r="J57" s="14"/>
      <c r="K57" s="14"/>
      <c r="L57" s="14"/>
      <c r="M57" s="14"/>
      <c r="N57" s="14"/>
      <c r="O57" s="14"/>
      <c r="P57" s="14"/>
      <c r="Q57" s="14"/>
      <c r="R57" s="14"/>
      <c r="S57" s="14"/>
      <c r="T57" s="14"/>
      <c r="U57" s="14"/>
      <c r="V57" s="14"/>
      <c r="W57" s="14"/>
      <c r="X57" s="14"/>
      <c r="Y57" s="14"/>
      <c r="Z57" s="14"/>
    </row>
    <row r="58" spans="1:26" x14ac:dyDescent="0.3">
      <c r="A58" s="14"/>
      <c r="B58" s="9" t="str">
        <f t="shared" ca="1" si="3"/>
        <v/>
      </c>
      <c r="C58" s="121" t="str">
        <f t="shared" ca="1" si="4"/>
        <v/>
      </c>
      <c r="D58" s="121"/>
      <c r="E58" s="121"/>
      <c r="F58" s="121"/>
      <c r="G58" s="14"/>
      <c r="H58" s="14"/>
      <c r="I58" s="14"/>
      <c r="J58" s="14"/>
      <c r="K58" s="14"/>
      <c r="L58" s="14"/>
      <c r="M58" s="14"/>
      <c r="N58" s="14"/>
      <c r="O58" s="14"/>
      <c r="P58" s="14"/>
      <c r="Q58" s="14"/>
      <c r="R58" s="14"/>
      <c r="S58" s="14"/>
      <c r="T58" s="14"/>
      <c r="U58" s="14"/>
      <c r="V58" s="14"/>
      <c r="W58" s="14"/>
      <c r="X58" s="14"/>
      <c r="Y58" s="14"/>
      <c r="Z58" s="14"/>
    </row>
    <row r="59" spans="1:26" x14ac:dyDescent="0.3">
      <c r="A59" s="14"/>
      <c r="B59" s="9" t="str">
        <f t="shared" ca="1" si="3"/>
        <v/>
      </c>
      <c r="C59" s="121" t="str">
        <f t="shared" ca="1" si="4"/>
        <v/>
      </c>
      <c r="D59" s="121"/>
      <c r="E59" s="121"/>
      <c r="F59" s="121"/>
      <c r="G59" s="14"/>
      <c r="H59" s="14"/>
      <c r="I59" s="14"/>
      <c r="J59" s="14"/>
      <c r="K59" s="14"/>
      <c r="L59" s="14"/>
      <c r="M59" s="14"/>
      <c r="N59" s="14"/>
      <c r="O59" s="14"/>
      <c r="P59" s="14"/>
      <c r="Q59" s="14"/>
      <c r="R59" s="14"/>
      <c r="S59" s="14"/>
      <c r="T59" s="14"/>
      <c r="U59" s="14"/>
      <c r="V59" s="14"/>
      <c r="W59" s="14"/>
      <c r="X59" s="14"/>
      <c r="Y59" s="14"/>
      <c r="Z59" s="14"/>
    </row>
    <row r="60" spans="1:26" x14ac:dyDescent="0.3">
      <c r="A60" s="14"/>
      <c r="B60" s="9" t="str">
        <f t="shared" ca="1" si="3"/>
        <v/>
      </c>
      <c r="C60" s="121" t="str">
        <f t="shared" ca="1" si="4"/>
        <v/>
      </c>
      <c r="D60" s="121"/>
      <c r="E60" s="121"/>
      <c r="F60" s="121"/>
      <c r="G60" s="14"/>
      <c r="H60" s="14"/>
      <c r="I60" s="14"/>
      <c r="J60" s="14"/>
      <c r="K60" s="14"/>
      <c r="L60" s="14"/>
      <c r="M60" s="14"/>
      <c r="N60" s="14"/>
      <c r="O60" s="14"/>
      <c r="P60" s="14"/>
      <c r="Q60" s="14"/>
      <c r="R60" s="14"/>
      <c r="S60" s="14"/>
      <c r="T60" s="14"/>
      <c r="U60" s="14"/>
      <c r="V60" s="14"/>
      <c r="W60" s="14"/>
      <c r="X60" s="14"/>
      <c r="Y60" s="14"/>
      <c r="Z60" s="14"/>
    </row>
    <row r="61" spans="1:26" x14ac:dyDescent="0.3">
      <c r="A61" s="14"/>
      <c r="B61" s="9" t="str">
        <f t="shared" ca="1" si="3"/>
        <v/>
      </c>
      <c r="C61" s="121" t="str">
        <f t="shared" ca="1" si="4"/>
        <v/>
      </c>
      <c r="D61" s="121"/>
      <c r="E61" s="121"/>
      <c r="F61" s="121"/>
      <c r="G61" s="14"/>
      <c r="H61" s="14"/>
      <c r="I61" s="14"/>
      <c r="J61" s="14"/>
      <c r="K61" s="14"/>
      <c r="L61" s="14"/>
      <c r="M61" s="14"/>
      <c r="N61" s="14"/>
      <c r="O61" s="14"/>
      <c r="P61" s="14"/>
      <c r="Q61" s="14"/>
      <c r="R61" s="14"/>
      <c r="S61" s="14"/>
      <c r="T61" s="14"/>
      <c r="U61" s="14"/>
      <c r="V61" s="14"/>
      <c r="W61" s="14"/>
      <c r="X61" s="14"/>
      <c r="Y61" s="14"/>
      <c r="Z61" s="14"/>
    </row>
    <row r="62" spans="1:26" x14ac:dyDescent="0.3">
      <c r="A62" s="14"/>
      <c r="B62" s="9" t="str">
        <f t="shared" ca="1" si="3"/>
        <v/>
      </c>
      <c r="C62" s="121" t="str">
        <f t="shared" ca="1" si="4"/>
        <v/>
      </c>
      <c r="D62" s="121"/>
      <c r="E62" s="121"/>
      <c r="F62" s="121"/>
      <c r="G62" s="14"/>
      <c r="H62" s="14"/>
      <c r="I62" s="14"/>
      <c r="J62" s="14"/>
      <c r="K62" s="14"/>
      <c r="L62" s="14"/>
      <c r="M62" s="14"/>
      <c r="N62" s="14"/>
      <c r="O62" s="14"/>
      <c r="P62" s="14"/>
      <c r="Q62" s="14"/>
      <c r="R62" s="14"/>
      <c r="S62" s="14"/>
      <c r="T62" s="14"/>
      <c r="U62" s="14"/>
      <c r="V62" s="14"/>
      <c r="W62" s="14"/>
      <c r="X62" s="14"/>
      <c r="Y62" s="14"/>
      <c r="Z62" s="14"/>
    </row>
    <row r="63" spans="1:26" x14ac:dyDescent="0.3">
      <c r="A63" s="14"/>
      <c r="B63" s="9" t="str">
        <f t="shared" ca="1" si="3"/>
        <v/>
      </c>
      <c r="C63" s="121" t="str">
        <f t="shared" ca="1" si="4"/>
        <v/>
      </c>
      <c r="D63" s="121"/>
      <c r="E63" s="121"/>
      <c r="F63" s="121"/>
      <c r="G63" s="14"/>
      <c r="H63" s="14"/>
      <c r="I63" s="14"/>
      <c r="J63" s="14"/>
      <c r="K63" s="14"/>
      <c r="L63" s="14"/>
      <c r="M63" s="14"/>
      <c r="N63" s="14"/>
      <c r="O63" s="14"/>
      <c r="P63" s="14"/>
      <c r="Q63" s="14"/>
      <c r="R63" s="14"/>
      <c r="S63" s="14"/>
      <c r="T63" s="14"/>
      <c r="U63" s="14"/>
      <c r="V63" s="14"/>
      <c r="W63" s="14"/>
      <c r="X63" s="14"/>
      <c r="Y63" s="14"/>
      <c r="Z63" s="14"/>
    </row>
    <row r="64" spans="1:26" x14ac:dyDescent="0.3">
      <c r="A64" s="14"/>
      <c r="B64" s="9" t="str">
        <f t="shared" ca="1" si="3"/>
        <v/>
      </c>
      <c r="C64" s="121" t="str">
        <f t="shared" ca="1" si="4"/>
        <v/>
      </c>
      <c r="D64" s="121"/>
      <c r="E64" s="121"/>
      <c r="F64" s="121"/>
      <c r="G64" s="14"/>
      <c r="H64" s="14"/>
      <c r="I64" s="14"/>
      <c r="J64" s="14"/>
      <c r="K64" s="14"/>
      <c r="L64" s="14"/>
      <c r="M64" s="14"/>
      <c r="N64" s="14"/>
      <c r="O64" s="14"/>
      <c r="P64" s="14"/>
      <c r="Q64" s="14"/>
      <c r="R64" s="14"/>
      <c r="S64" s="14"/>
      <c r="T64" s="14"/>
      <c r="U64" s="14"/>
      <c r="V64" s="14"/>
      <c r="W64" s="14"/>
      <c r="X64" s="14"/>
      <c r="Y64" s="14"/>
      <c r="Z64" s="14"/>
    </row>
    <row r="65" spans="1:26" x14ac:dyDescent="0.3">
      <c r="A65" s="14"/>
      <c r="B65" s="9" t="str">
        <f t="shared" ca="1" si="3"/>
        <v/>
      </c>
      <c r="C65" s="121" t="str">
        <f t="shared" ca="1" si="4"/>
        <v/>
      </c>
      <c r="D65" s="121"/>
      <c r="E65" s="121"/>
      <c r="F65" s="121"/>
      <c r="G65" s="14"/>
      <c r="H65" s="14"/>
      <c r="I65" s="14"/>
      <c r="J65" s="14"/>
      <c r="K65" s="14"/>
      <c r="L65" s="14"/>
      <c r="M65" s="14"/>
      <c r="N65" s="14"/>
      <c r="O65" s="14"/>
      <c r="P65" s="14"/>
      <c r="Q65" s="14"/>
      <c r="R65" s="14"/>
      <c r="S65" s="14"/>
      <c r="T65" s="14"/>
      <c r="U65" s="14"/>
      <c r="V65" s="14"/>
      <c r="W65" s="14"/>
      <c r="X65" s="14"/>
      <c r="Y65" s="14"/>
      <c r="Z65" s="14"/>
    </row>
    <row r="66" spans="1:26" x14ac:dyDescent="0.3">
      <c r="A66" s="14"/>
      <c r="B66" s="9" t="str">
        <f t="shared" ca="1" si="3"/>
        <v/>
      </c>
      <c r="C66" s="121" t="str">
        <f t="shared" ca="1" si="4"/>
        <v/>
      </c>
      <c r="D66" s="121"/>
      <c r="E66" s="121"/>
      <c r="F66" s="121"/>
      <c r="G66" s="14"/>
      <c r="H66" s="14"/>
      <c r="I66" s="14"/>
      <c r="J66" s="14"/>
      <c r="K66" s="14"/>
      <c r="L66" s="14"/>
      <c r="M66" s="14"/>
      <c r="N66" s="14"/>
      <c r="O66" s="14"/>
      <c r="P66" s="14"/>
      <c r="Q66" s="14"/>
      <c r="R66" s="14"/>
      <c r="S66" s="14"/>
      <c r="T66" s="14"/>
      <c r="U66" s="14"/>
      <c r="V66" s="14"/>
      <c r="W66" s="14"/>
      <c r="X66" s="14"/>
      <c r="Y66" s="14"/>
      <c r="Z66" s="14"/>
    </row>
    <row r="67" spans="1:26" x14ac:dyDescent="0.3">
      <c r="A67" s="14"/>
      <c r="B67" s="9" t="str">
        <f t="shared" ca="1" si="3"/>
        <v/>
      </c>
      <c r="C67" s="121" t="str">
        <f t="shared" ca="1" si="4"/>
        <v/>
      </c>
      <c r="D67" s="121"/>
      <c r="E67" s="121"/>
      <c r="F67" s="121"/>
      <c r="G67" s="14"/>
      <c r="H67" s="14"/>
      <c r="I67" s="14"/>
      <c r="J67" s="14"/>
      <c r="K67" s="14"/>
      <c r="L67" s="14"/>
      <c r="M67" s="14"/>
      <c r="N67" s="14"/>
      <c r="O67" s="14"/>
      <c r="P67" s="14"/>
      <c r="Q67" s="14"/>
      <c r="R67" s="14"/>
      <c r="S67" s="14"/>
      <c r="T67" s="14"/>
      <c r="U67" s="14"/>
      <c r="V67" s="14"/>
      <c r="W67" s="14"/>
      <c r="X67" s="14"/>
      <c r="Y67" s="14"/>
      <c r="Z67" s="14"/>
    </row>
    <row r="68" spans="1:26" x14ac:dyDescent="0.3">
      <c r="A68" s="14"/>
      <c r="B68" s="9" t="str">
        <f t="shared" ca="1" si="3"/>
        <v/>
      </c>
      <c r="C68" s="121" t="str">
        <f t="shared" ca="1" si="4"/>
        <v/>
      </c>
      <c r="D68" s="121"/>
      <c r="E68" s="121"/>
      <c r="F68" s="121"/>
      <c r="G68" s="14"/>
      <c r="H68" s="14"/>
      <c r="I68" s="14"/>
      <c r="J68" s="14"/>
      <c r="K68" s="14"/>
      <c r="L68" s="14"/>
      <c r="M68" s="14"/>
      <c r="N68" s="14"/>
      <c r="O68" s="14"/>
      <c r="P68" s="14"/>
      <c r="Q68" s="14"/>
      <c r="R68" s="14"/>
      <c r="S68" s="14"/>
      <c r="T68" s="14"/>
      <c r="U68" s="14"/>
      <c r="V68" s="14"/>
      <c r="W68" s="14"/>
      <c r="X68" s="14"/>
      <c r="Y68" s="14"/>
      <c r="Z68" s="14"/>
    </row>
    <row r="69" spans="1:26" x14ac:dyDescent="0.3">
      <c r="A69" s="14"/>
      <c r="B69" s="9" t="str">
        <f t="shared" ca="1" si="3"/>
        <v/>
      </c>
      <c r="C69" s="121" t="str">
        <f t="shared" ca="1" si="4"/>
        <v/>
      </c>
      <c r="D69" s="121"/>
      <c r="E69" s="121"/>
      <c r="F69" s="121"/>
      <c r="G69" s="14"/>
      <c r="H69" s="14"/>
      <c r="I69" s="14"/>
      <c r="J69" s="14"/>
      <c r="K69" s="14"/>
      <c r="L69" s="14"/>
      <c r="M69" s="14"/>
      <c r="N69" s="14"/>
      <c r="O69" s="14"/>
      <c r="P69" s="14"/>
      <c r="Q69" s="14"/>
      <c r="R69" s="14"/>
      <c r="S69" s="14"/>
      <c r="T69" s="14"/>
      <c r="U69" s="14"/>
      <c r="V69" s="14"/>
      <c r="W69" s="14"/>
      <c r="X69" s="14"/>
      <c r="Y69" s="14"/>
      <c r="Z69" s="14"/>
    </row>
    <row r="70" spans="1:26" x14ac:dyDescent="0.3">
      <c r="A70" s="14"/>
      <c r="B70" s="9" t="str">
        <f t="shared" ca="1" si="3"/>
        <v/>
      </c>
      <c r="C70" s="121" t="str">
        <f t="shared" ca="1" si="4"/>
        <v/>
      </c>
      <c r="D70" s="121"/>
      <c r="E70" s="121"/>
      <c r="F70" s="121"/>
      <c r="G70" s="14"/>
      <c r="H70" s="14"/>
      <c r="I70" s="14"/>
      <c r="J70" s="14"/>
      <c r="K70" s="14"/>
      <c r="L70" s="14"/>
      <c r="M70" s="14"/>
      <c r="N70" s="14"/>
      <c r="O70" s="14"/>
      <c r="P70" s="14"/>
      <c r="Q70" s="14"/>
      <c r="R70" s="14"/>
      <c r="S70" s="14"/>
      <c r="T70" s="14"/>
      <c r="U70" s="14"/>
      <c r="V70" s="14"/>
      <c r="W70" s="14"/>
      <c r="X70" s="14"/>
      <c r="Y70" s="14"/>
      <c r="Z70" s="14"/>
    </row>
    <row r="71" spans="1:26" x14ac:dyDescent="0.3">
      <c r="A71" s="14"/>
      <c r="B71" s="9" t="str">
        <f t="shared" ca="1" si="3"/>
        <v/>
      </c>
      <c r="C71" s="121" t="str">
        <f t="shared" ca="1" si="4"/>
        <v/>
      </c>
      <c r="D71" s="121"/>
      <c r="E71" s="121"/>
      <c r="F71" s="121"/>
      <c r="G71" s="14"/>
      <c r="H71" s="14"/>
      <c r="I71" s="14"/>
      <c r="J71" s="14"/>
      <c r="K71" s="14"/>
      <c r="L71" s="14"/>
      <c r="M71" s="14"/>
      <c r="N71" s="14"/>
      <c r="O71" s="14"/>
      <c r="P71" s="14"/>
      <c r="Q71" s="14"/>
      <c r="R71" s="14"/>
      <c r="S71" s="14"/>
      <c r="T71" s="14"/>
      <c r="U71" s="14"/>
      <c r="V71" s="14"/>
      <c r="W71" s="14"/>
      <c r="X71" s="14"/>
      <c r="Y71" s="14"/>
      <c r="Z71" s="14"/>
    </row>
    <row r="72" spans="1:26" x14ac:dyDescent="0.3">
      <c r="A72" s="14"/>
      <c r="B72" s="9" t="str">
        <f t="shared" ca="1" si="3"/>
        <v/>
      </c>
      <c r="C72" s="121" t="str">
        <f t="shared" ca="1" si="4"/>
        <v/>
      </c>
      <c r="D72" s="121"/>
      <c r="E72" s="121"/>
      <c r="F72" s="121"/>
      <c r="G72" s="14"/>
      <c r="H72" s="14"/>
      <c r="I72" s="14"/>
      <c r="J72" s="14"/>
      <c r="K72" s="14"/>
      <c r="L72" s="14"/>
      <c r="M72" s="14"/>
      <c r="N72" s="14"/>
      <c r="O72" s="14"/>
      <c r="P72" s="14"/>
      <c r="Q72" s="14"/>
      <c r="R72" s="14"/>
      <c r="S72" s="14"/>
      <c r="T72" s="14"/>
      <c r="U72" s="14"/>
      <c r="V72" s="14"/>
      <c r="W72" s="14"/>
      <c r="X72" s="14"/>
      <c r="Y72" s="14"/>
      <c r="Z72" s="14"/>
    </row>
    <row r="73" spans="1:26" x14ac:dyDescent="0.3">
      <c r="A73" s="14"/>
      <c r="B73" s="9" t="str">
        <f t="shared" ca="1" si="3"/>
        <v/>
      </c>
      <c r="C73" s="121" t="str">
        <f t="shared" ca="1" si="4"/>
        <v/>
      </c>
      <c r="D73" s="121"/>
      <c r="E73" s="121"/>
      <c r="F73" s="121"/>
      <c r="G73" s="14"/>
      <c r="H73" s="14"/>
      <c r="I73" s="14"/>
      <c r="J73" s="14"/>
      <c r="K73" s="14"/>
      <c r="L73" s="14"/>
      <c r="M73" s="14"/>
      <c r="N73" s="14"/>
      <c r="O73" s="14"/>
      <c r="P73" s="14"/>
      <c r="Q73" s="14"/>
      <c r="R73" s="14"/>
      <c r="S73" s="14"/>
      <c r="T73" s="14"/>
      <c r="U73" s="14"/>
      <c r="V73" s="14"/>
      <c r="W73" s="14"/>
      <c r="X73" s="14"/>
      <c r="Y73" s="14"/>
      <c r="Z73" s="14"/>
    </row>
    <row r="74" spans="1:26" x14ac:dyDescent="0.3">
      <c r="A74" s="14"/>
      <c r="B74" s="9" t="str">
        <f t="shared" ca="1" si="3"/>
        <v/>
      </c>
      <c r="C74" s="121" t="str">
        <f t="shared" ca="1" si="4"/>
        <v/>
      </c>
      <c r="D74" s="121"/>
      <c r="E74" s="121"/>
      <c r="F74" s="121"/>
      <c r="G74" s="14"/>
      <c r="H74" s="14"/>
      <c r="I74" s="14"/>
      <c r="J74" s="14"/>
      <c r="K74" s="14"/>
      <c r="L74" s="14"/>
      <c r="M74" s="14"/>
      <c r="N74" s="14"/>
      <c r="O74" s="14"/>
      <c r="P74" s="14"/>
      <c r="Q74" s="14"/>
      <c r="R74" s="14"/>
      <c r="S74" s="14"/>
      <c r="T74" s="14"/>
      <c r="U74" s="14"/>
      <c r="V74" s="14"/>
      <c r="W74" s="14"/>
      <c r="X74" s="14"/>
      <c r="Y74" s="14"/>
      <c r="Z74" s="14"/>
    </row>
    <row r="75" spans="1:26" x14ac:dyDescent="0.3">
      <c r="A75" s="14"/>
      <c r="B75" s="9" t="str">
        <f t="shared" ca="1" si="3"/>
        <v/>
      </c>
      <c r="C75" s="121" t="str">
        <f t="shared" ca="1" si="4"/>
        <v/>
      </c>
      <c r="D75" s="121"/>
      <c r="E75" s="121"/>
      <c r="F75" s="121"/>
      <c r="G75" s="14"/>
      <c r="H75" s="14"/>
      <c r="I75" s="14"/>
      <c r="J75" s="14"/>
      <c r="K75" s="14"/>
      <c r="L75" s="14"/>
      <c r="M75" s="14"/>
      <c r="N75" s="14"/>
      <c r="O75" s="14"/>
      <c r="P75" s="14"/>
      <c r="Q75" s="14"/>
      <c r="R75" s="14"/>
      <c r="S75" s="14"/>
      <c r="T75" s="14"/>
      <c r="U75" s="14"/>
      <c r="V75" s="14"/>
      <c r="W75" s="14"/>
      <c r="X75" s="14"/>
      <c r="Y75" s="14"/>
      <c r="Z75" s="14"/>
    </row>
    <row r="76" spans="1:26" x14ac:dyDescent="0.3">
      <c r="A76" s="14"/>
      <c r="B76" s="9" t="str">
        <f t="shared" ca="1" si="3"/>
        <v/>
      </c>
      <c r="C76" s="121" t="str">
        <f t="shared" ca="1" si="4"/>
        <v/>
      </c>
      <c r="D76" s="121"/>
      <c r="E76" s="121"/>
      <c r="F76" s="121"/>
      <c r="G76" s="14"/>
      <c r="H76" s="14"/>
      <c r="I76" s="14"/>
      <c r="J76" s="14"/>
      <c r="K76" s="14"/>
      <c r="L76" s="14"/>
      <c r="M76" s="14"/>
      <c r="N76" s="14"/>
      <c r="O76" s="14"/>
      <c r="P76" s="14"/>
      <c r="Q76" s="14"/>
      <c r="R76" s="14"/>
      <c r="S76" s="14"/>
      <c r="T76" s="14"/>
      <c r="U76" s="14"/>
      <c r="V76" s="14"/>
      <c r="W76" s="14"/>
      <c r="X76" s="14"/>
      <c r="Y76" s="14"/>
      <c r="Z76" s="14"/>
    </row>
    <row r="77" spans="1:26" x14ac:dyDescent="0.3">
      <c r="A77" s="14"/>
      <c r="B77" s="9" t="str">
        <f t="shared" ca="1" si="3"/>
        <v/>
      </c>
      <c r="C77" s="121" t="str">
        <f t="shared" ca="1" si="4"/>
        <v/>
      </c>
      <c r="D77" s="121"/>
      <c r="E77" s="121"/>
      <c r="F77" s="121"/>
      <c r="G77" s="14"/>
      <c r="H77" s="14"/>
      <c r="I77" s="14"/>
      <c r="J77" s="14"/>
      <c r="K77" s="14"/>
      <c r="L77" s="14"/>
      <c r="M77" s="14"/>
      <c r="N77" s="14"/>
      <c r="O77" s="14"/>
      <c r="P77" s="14"/>
      <c r="Q77" s="14"/>
      <c r="R77" s="14"/>
      <c r="S77" s="14"/>
      <c r="T77" s="14"/>
      <c r="U77" s="14"/>
      <c r="V77" s="14"/>
      <c r="W77" s="14"/>
      <c r="X77" s="14"/>
      <c r="Y77" s="14"/>
      <c r="Z77" s="14"/>
    </row>
    <row r="78" spans="1:26" x14ac:dyDescent="0.3">
      <c r="A78" s="14"/>
      <c r="B78" s="9" t="str">
        <f t="shared" ca="1" si="3"/>
        <v/>
      </c>
      <c r="C78" s="121" t="str">
        <f t="shared" ca="1" si="4"/>
        <v/>
      </c>
      <c r="D78" s="121"/>
      <c r="E78" s="121"/>
      <c r="F78" s="121"/>
      <c r="G78" s="14"/>
      <c r="H78" s="14"/>
      <c r="I78" s="14"/>
      <c r="J78" s="14"/>
      <c r="K78" s="14"/>
      <c r="L78" s="14"/>
      <c r="M78" s="14"/>
      <c r="N78" s="14"/>
      <c r="O78" s="14"/>
      <c r="P78" s="14"/>
      <c r="Q78" s="14"/>
      <c r="R78" s="14"/>
      <c r="S78" s="14"/>
      <c r="T78" s="14"/>
      <c r="U78" s="14"/>
      <c r="V78" s="14"/>
      <c r="W78" s="14"/>
      <c r="X78" s="14"/>
      <c r="Y78" s="14"/>
      <c r="Z78" s="14"/>
    </row>
    <row r="79" spans="1:26" x14ac:dyDescent="0.3">
      <c r="A79" s="14"/>
      <c r="B79" s="9" t="str">
        <f t="shared" ca="1" si="3"/>
        <v/>
      </c>
      <c r="C79" s="121" t="str">
        <f t="shared" ca="1" si="4"/>
        <v/>
      </c>
      <c r="D79" s="121"/>
      <c r="E79" s="121"/>
      <c r="F79" s="121"/>
      <c r="G79" s="14"/>
      <c r="H79" s="14"/>
      <c r="I79" s="14"/>
      <c r="J79" s="14"/>
      <c r="K79" s="14"/>
      <c r="L79" s="14"/>
      <c r="M79" s="14"/>
      <c r="N79" s="14"/>
      <c r="O79" s="14"/>
      <c r="P79" s="14"/>
      <c r="Q79" s="14"/>
      <c r="R79" s="14"/>
      <c r="S79" s="14"/>
      <c r="T79" s="14"/>
      <c r="U79" s="14"/>
      <c r="V79" s="14"/>
      <c r="W79" s="14"/>
      <c r="X79" s="14"/>
      <c r="Y79" s="14"/>
      <c r="Z79" s="14"/>
    </row>
    <row r="80" spans="1:26" x14ac:dyDescent="0.3">
      <c r="A80" s="14"/>
      <c r="B80" s="9" t="str">
        <f t="shared" ca="1" si="3"/>
        <v/>
      </c>
      <c r="C80" s="121" t="str">
        <f t="shared" ca="1" si="4"/>
        <v/>
      </c>
      <c r="D80" s="121"/>
      <c r="E80" s="121"/>
      <c r="F80" s="121"/>
      <c r="G80" s="14"/>
      <c r="H80" s="14"/>
      <c r="I80" s="14"/>
      <c r="J80" s="14"/>
      <c r="K80" s="14"/>
      <c r="L80" s="14"/>
      <c r="M80" s="14"/>
      <c r="N80" s="14"/>
      <c r="O80" s="14"/>
      <c r="P80" s="14"/>
      <c r="Q80" s="14"/>
      <c r="R80" s="14"/>
      <c r="S80" s="14"/>
      <c r="T80" s="14"/>
      <c r="U80" s="14"/>
      <c r="V80" s="14"/>
      <c r="W80" s="14"/>
      <c r="X80" s="14"/>
      <c r="Y80" s="14"/>
      <c r="Z80" s="14"/>
    </row>
    <row r="81" spans="1:26" x14ac:dyDescent="0.3">
      <c r="A81" s="14"/>
      <c r="B81" s="9" t="str">
        <f t="shared" ca="1" si="3"/>
        <v/>
      </c>
      <c r="C81" s="121" t="str">
        <f t="shared" ca="1" si="4"/>
        <v/>
      </c>
      <c r="D81" s="121"/>
      <c r="E81" s="121"/>
      <c r="F81" s="121"/>
      <c r="G81" s="14"/>
      <c r="H81" s="14"/>
      <c r="I81" s="14"/>
      <c r="J81" s="14"/>
      <c r="K81" s="14"/>
      <c r="L81" s="14"/>
      <c r="M81" s="14"/>
      <c r="N81" s="14"/>
      <c r="O81" s="14"/>
      <c r="P81" s="14"/>
      <c r="Q81" s="14"/>
      <c r="R81" s="14"/>
      <c r="S81" s="14"/>
      <c r="T81" s="14"/>
      <c r="U81" s="14"/>
      <c r="V81" s="14"/>
      <c r="W81" s="14"/>
      <c r="X81" s="14"/>
      <c r="Y81" s="14"/>
      <c r="Z81" s="14"/>
    </row>
    <row r="82" spans="1:26" x14ac:dyDescent="0.3">
      <c r="A82" s="14"/>
      <c r="B82" s="9" t="str">
        <f t="shared" ca="1" si="3"/>
        <v/>
      </c>
      <c r="C82" s="121" t="str">
        <f t="shared" ca="1" si="4"/>
        <v/>
      </c>
      <c r="D82" s="121"/>
      <c r="E82" s="121"/>
      <c r="F82" s="121"/>
      <c r="G82" s="14"/>
      <c r="H82" s="14"/>
      <c r="I82" s="14"/>
      <c r="J82" s="14"/>
      <c r="K82" s="14"/>
      <c r="L82" s="14"/>
      <c r="M82" s="14"/>
      <c r="N82" s="14"/>
      <c r="O82" s="14"/>
      <c r="P82" s="14"/>
      <c r="Q82" s="14"/>
      <c r="R82" s="14"/>
      <c r="S82" s="14"/>
      <c r="T82" s="14"/>
      <c r="U82" s="14"/>
      <c r="V82" s="14"/>
      <c r="W82" s="14"/>
      <c r="X82" s="14"/>
      <c r="Y82" s="14"/>
      <c r="Z82" s="14"/>
    </row>
    <row r="83" spans="1:26" x14ac:dyDescent="0.3">
      <c r="A83" s="14"/>
      <c r="B83" s="9" t="str">
        <f t="shared" ca="1" si="3"/>
        <v/>
      </c>
      <c r="C83" s="121" t="str">
        <f t="shared" ca="1" si="4"/>
        <v/>
      </c>
      <c r="D83" s="121"/>
      <c r="E83" s="121"/>
      <c r="F83" s="121"/>
      <c r="G83" s="14"/>
      <c r="H83" s="14"/>
      <c r="I83" s="14"/>
      <c r="J83" s="14"/>
      <c r="K83" s="14"/>
      <c r="L83" s="14"/>
      <c r="M83" s="14"/>
      <c r="N83" s="14"/>
      <c r="O83" s="14"/>
      <c r="P83" s="14"/>
      <c r="Q83" s="14"/>
      <c r="R83" s="14"/>
      <c r="S83" s="14"/>
      <c r="T83" s="14"/>
      <c r="U83" s="14"/>
      <c r="V83" s="14"/>
      <c r="W83" s="14"/>
      <c r="X83" s="14"/>
      <c r="Y83" s="14"/>
      <c r="Z83" s="14"/>
    </row>
    <row r="84" spans="1:26" x14ac:dyDescent="0.3">
      <c r="A84" s="14"/>
      <c r="B84" s="9" t="str">
        <f t="shared" ca="1" si="3"/>
        <v/>
      </c>
      <c r="C84" s="121" t="str">
        <f t="shared" ca="1" si="4"/>
        <v/>
      </c>
      <c r="D84" s="121"/>
      <c r="E84" s="121"/>
      <c r="F84" s="121"/>
      <c r="G84" s="14"/>
      <c r="H84" s="14"/>
      <c r="I84" s="14"/>
      <c r="J84" s="14"/>
      <c r="K84" s="14"/>
      <c r="L84" s="14"/>
      <c r="M84" s="14"/>
      <c r="N84" s="14"/>
      <c r="O84" s="14"/>
      <c r="P84" s="14"/>
      <c r="Q84" s="14"/>
      <c r="R84" s="14"/>
      <c r="S84" s="14"/>
      <c r="T84" s="14"/>
      <c r="U84" s="14"/>
      <c r="V84" s="14"/>
      <c r="W84" s="14"/>
      <c r="X84" s="14"/>
      <c r="Y84" s="14"/>
      <c r="Z84" s="14"/>
    </row>
    <row r="85" spans="1:26" x14ac:dyDescent="0.3">
      <c r="A85" s="14"/>
      <c r="B85" s="9" t="str">
        <f t="shared" ca="1" si="3"/>
        <v/>
      </c>
      <c r="C85" s="121" t="str">
        <f t="shared" ca="1" si="4"/>
        <v/>
      </c>
      <c r="D85" s="121"/>
      <c r="E85" s="121"/>
      <c r="F85" s="121"/>
      <c r="G85" s="14"/>
      <c r="H85" s="14"/>
      <c r="I85" s="14"/>
      <c r="J85" s="14"/>
      <c r="K85" s="14"/>
      <c r="L85" s="14"/>
      <c r="M85" s="14"/>
      <c r="N85" s="14"/>
      <c r="O85" s="14"/>
      <c r="P85" s="14"/>
      <c r="Q85" s="14"/>
      <c r="R85" s="14"/>
      <c r="S85" s="14"/>
      <c r="T85" s="14"/>
      <c r="U85" s="14"/>
      <c r="V85" s="14"/>
      <c r="W85" s="14"/>
      <c r="X85" s="14"/>
      <c r="Y85" s="14"/>
      <c r="Z85" s="14"/>
    </row>
    <row r="86" spans="1:26" x14ac:dyDescent="0.3">
      <c r="A86" s="14"/>
      <c r="B86" s="9" t="str">
        <f t="shared" ca="1" si="3"/>
        <v/>
      </c>
      <c r="C86" s="121" t="str">
        <f t="shared" ca="1" si="4"/>
        <v/>
      </c>
      <c r="D86" s="121"/>
      <c r="E86" s="121"/>
      <c r="F86" s="121"/>
      <c r="G86" s="14"/>
      <c r="H86" s="14"/>
      <c r="I86" s="14"/>
      <c r="J86" s="14"/>
      <c r="K86" s="14"/>
      <c r="L86" s="14"/>
      <c r="M86" s="14"/>
      <c r="N86" s="14"/>
      <c r="O86" s="14"/>
      <c r="P86" s="14"/>
      <c r="Q86" s="14"/>
      <c r="R86" s="14"/>
      <c r="S86" s="14"/>
      <c r="T86" s="14"/>
      <c r="U86" s="14"/>
      <c r="V86" s="14"/>
      <c r="W86" s="14"/>
      <c r="X86" s="14"/>
      <c r="Y86" s="14"/>
      <c r="Z86" s="14"/>
    </row>
    <row r="87" spans="1:26" x14ac:dyDescent="0.3">
      <c r="A87" s="14"/>
      <c r="B87" s="9" t="str">
        <f t="shared" ca="1" si="3"/>
        <v/>
      </c>
      <c r="C87" s="121" t="str">
        <f t="shared" ca="1" si="4"/>
        <v/>
      </c>
      <c r="D87" s="121"/>
      <c r="E87" s="121"/>
      <c r="F87" s="121"/>
      <c r="G87" s="14"/>
      <c r="H87" s="14"/>
      <c r="I87" s="14"/>
      <c r="J87" s="14"/>
      <c r="K87" s="14"/>
      <c r="L87" s="14"/>
      <c r="M87" s="14"/>
      <c r="N87" s="14"/>
      <c r="O87" s="14"/>
      <c r="P87" s="14"/>
      <c r="Q87" s="14"/>
      <c r="R87" s="14"/>
      <c r="S87" s="14"/>
      <c r="T87" s="14"/>
      <c r="U87" s="14"/>
      <c r="V87" s="14"/>
      <c r="W87" s="14"/>
      <c r="X87" s="14"/>
      <c r="Y87" s="14"/>
      <c r="Z87" s="14"/>
    </row>
    <row r="88" spans="1:26" x14ac:dyDescent="0.3">
      <c r="A88" s="14"/>
      <c r="B88" s="9" t="str">
        <f t="shared" ca="1" si="3"/>
        <v/>
      </c>
      <c r="C88" s="121" t="str">
        <f t="shared" ca="1" si="4"/>
        <v/>
      </c>
      <c r="D88" s="121"/>
      <c r="E88" s="121"/>
      <c r="F88" s="121"/>
      <c r="G88" s="14"/>
      <c r="H88" s="14"/>
      <c r="I88" s="14"/>
      <c r="J88" s="14"/>
      <c r="K88" s="14"/>
      <c r="L88" s="14"/>
      <c r="M88" s="14"/>
      <c r="N88" s="14"/>
      <c r="O88" s="14"/>
      <c r="P88" s="14"/>
      <c r="Q88" s="14"/>
      <c r="R88" s="14"/>
      <c r="S88" s="14"/>
      <c r="T88" s="14"/>
      <c r="U88" s="14"/>
      <c r="V88" s="14"/>
      <c r="W88" s="14"/>
      <c r="X88" s="14"/>
      <c r="Y88" s="14"/>
      <c r="Z88" s="14"/>
    </row>
    <row r="89" spans="1:26" x14ac:dyDescent="0.3">
      <c r="A89" s="14"/>
      <c r="B89" s="9" t="str">
        <f t="shared" ref="B89:B100" ca="1" si="7">IF(INDIRECT("CM!B"&amp; ROW() -22)="","",INDIRECT("CM!B"&amp; ROW() -22))</f>
        <v/>
      </c>
      <c r="C89" s="121" t="str">
        <f t="shared" ref="C89:C100" ca="1" si="8">IF(INDIRECT("CM!C"&amp; ROW() -22)="","",INDIRECT("CM!C"&amp; ROW() -22))</f>
        <v/>
      </c>
      <c r="D89" s="121"/>
      <c r="E89" s="121"/>
      <c r="F89" s="121"/>
      <c r="G89" s="14"/>
      <c r="H89" s="14"/>
      <c r="I89" s="14"/>
      <c r="J89" s="14"/>
      <c r="K89" s="14"/>
      <c r="L89" s="14"/>
      <c r="M89" s="14"/>
      <c r="N89" s="14"/>
      <c r="O89" s="14"/>
      <c r="P89" s="14"/>
      <c r="Q89" s="14"/>
      <c r="R89" s="14"/>
      <c r="S89" s="14"/>
      <c r="T89" s="14"/>
      <c r="U89" s="14"/>
      <c r="V89" s="14"/>
      <c r="W89" s="14"/>
      <c r="X89" s="14"/>
      <c r="Y89" s="14"/>
      <c r="Z89" s="14"/>
    </row>
    <row r="90" spans="1:26" x14ac:dyDescent="0.3">
      <c r="A90" s="14"/>
      <c r="B90" s="9" t="str">
        <f t="shared" ca="1" si="7"/>
        <v/>
      </c>
      <c r="C90" s="121" t="str">
        <f t="shared" ca="1" si="8"/>
        <v/>
      </c>
      <c r="D90" s="121"/>
      <c r="E90" s="121"/>
      <c r="F90" s="121"/>
      <c r="G90" s="14"/>
      <c r="H90" s="14"/>
      <c r="I90" s="14"/>
      <c r="J90" s="14"/>
      <c r="K90" s="14"/>
      <c r="L90" s="14"/>
      <c r="M90" s="14"/>
      <c r="N90" s="14"/>
      <c r="O90" s="14"/>
      <c r="P90" s="14"/>
      <c r="Q90" s="14"/>
      <c r="R90" s="14"/>
      <c r="S90" s="14"/>
      <c r="T90" s="14"/>
      <c r="U90" s="14"/>
      <c r="V90" s="14"/>
      <c r="W90" s="14"/>
      <c r="X90" s="14"/>
      <c r="Y90" s="14"/>
      <c r="Z90" s="14"/>
    </row>
    <row r="91" spans="1:26" x14ac:dyDescent="0.3">
      <c r="A91" s="14"/>
      <c r="B91" s="9" t="str">
        <f t="shared" ca="1" si="7"/>
        <v/>
      </c>
      <c r="C91" s="121" t="str">
        <f t="shared" ca="1" si="8"/>
        <v/>
      </c>
      <c r="D91" s="121"/>
      <c r="E91" s="121"/>
      <c r="F91" s="121"/>
      <c r="G91" s="14"/>
      <c r="H91" s="14"/>
      <c r="I91" s="14"/>
      <c r="J91" s="14"/>
      <c r="K91" s="14"/>
      <c r="L91" s="14"/>
      <c r="M91" s="14"/>
      <c r="N91" s="14"/>
      <c r="O91" s="14"/>
      <c r="P91" s="14"/>
      <c r="Q91" s="14"/>
      <c r="R91" s="14"/>
      <c r="S91" s="14"/>
      <c r="T91" s="14"/>
      <c r="U91" s="14"/>
      <c r="V91" s="14"/>
      <c r="W91" s="14"/>
      <c r="X91" s="14"/>
      <c r="Y91" s="14"/>
      <c r="Z91" s="14"/>
    </row>
    <row r="92" spans="1:26" x14ac:dyDescent="0.3">
      <c r="A92" s="14"/>
      <c r="B92" s="9" t="str">
        <f t="shared" ca="1" si="7"/>
        <v/>
      </c>
      <c r="C92" s="121" t="str">
        <f t="shared" ca="1" si="8"/>
        <v/>
      </c>
      <c r="D92" s="121"/>
      <c r="E92" s="121"/>
      <c r="F92" s="121"/>
      <c r="G92" s="14"/>
      <c r="H92" s="14"/>
      <c r="I92" s="14"/>
      <c r="J92" s="14"/>
      <c r="K92" s="14"/>
      <c r="L92" s="14"/>
      <c r="M92" s="14"/>
      <c r="N92" s="14"/>
      <c r="O92" s="14"/>
      <c r="P92" s="14"/>
      <c r="Q92" s="14"/>
      <c r="R92" s="14"/>
      <c r="S92" s="14"/>
      <c r="T92" s="14"/>
      <c r="U92" s="14"/>
      <c r="V92" s="14"/>
      <c r="W92" s="14"/>
      <c r="X92" s="14"/>
      <c r="Y92" s="14"/>
      <c r="Z92" s="14"/>
    </row>
    <row r="93" spans="1:26" x14ac:dyDescent="0.3">
      <c r="A93" s="14"/>
      <c r="B93" s="9" t="str">
        <f t="shared" ca="1" si="7"/>
        <v/>
      </c>
      <c r="C93" s="121" t="str">
        <f t="shared" ca="1" si="8"/>
        <v/>
      </c>
      <c r="D93" s="121"/>
      <c r="E93" s="121"/>
      <c r="F93" s="121"/>
      <c r="G93" s="14"/>
      <c r="H93" s="14"/>
      <c r="I93" s="14"/>
      <c r="J93" s="14"/>
      <c r="K93" s="14"/>
      <c r="L93" s="14"/>
      <c r="M93" s="14"/>
      <c r="N93" s="14"/>
      <c r="O93" s="14"/>
      <c r="P93" s="14"/>
      <c r="Q93" s="14"/>
      <c r="R93" s="14"/>
      <c r="S93" s="14"/>
      <c r="T93" s="14"/>
      <c r="U93" s="14"/>
      <c r="V93" s="14"/>
      <c r="W93" s="14"/>
      <c r="X93" s="14"/>
      <c r="Y93" s="14"/>
      <c r="Z93" s="14"/>
    </row>
    <row r="94" spans="1:26" x14ac:dyDescent="0.3">
      <c r="A94" s="14"/>
      <c r="B94" s="9" t="str">
        <f t="shared" ca="1" si="7"/>
        <v/>
      </c>
      <c r="C94" s="121" t="str">
        <f t="shared" ca="1" si="8"/>
        <v/>
      </c>
      <c r="D94" s="121"/>
      <c r="E94" s="121"/>
      <c r="F94" s="121"/>
      <c r="G94" s="14"/>
      <c r="H94" s="14"/>
      <c r="I94" s="14"/>
      <c r="J94" s="14"/>
      <c r="K94" s="14"/>
      <c r="L94" s="14"/>
      <c r="M94" s="14"/>
      <c r="N94" s="14"/>
      <c r="O94" s="14"/>
      <c r="P94" s="14"/>
      <c r="Q94" s="14"/>
      <c r="R94" s="14"/>
      <c r="S94" s="14"/>
      <c r="T94" s="14"/>
      <c r="U94" s="14"/>
      <c r="V94" s="14"/>
      <c r="W94" s="14"/>
      <c r="X94" s="14"/>
      <c r="Y94" s="14"/>
      <c r="Z94" s="14"/>
    </row>
    <row r="95" spans="1:26" x14ac:dyDescent="0.3">
      <c r="A95" s="14"/>
      <c r="B95" s="9" t="str">
        <f t="shared" ca="1" si="7"/>
        <v/>
      </c>
      <c r="C95" s="121" t="str">
        <f t="shared" ca="1" si="8"/>
        <v/>
      </c>
      <c r="D95" s="121"/>
      <c r="E95" s="121"/>
      <c r="F95" s="121"/>
      <c r="G95" s="14"/>
      <c r="H95" s="14"/>
      <c r="I95" s="14"/>
      <c r="J95" s="14"/>
      <c r="K95" s="14"/>
      <c r="L95" s="14"/>
      <c r="M95" s="14"/>
      <c r="N95" s="14"/>
      <c r="O95" s="14"/>
      <c r="P95" s="14"/>
      <c r="Q95" s="14"/>
      <c r="R95" s="14"/>
      <c r="S95" s="14"/>
      <c r="T95" s="14"/>
      <c r="U95" s="14"/>
      <c r="V95" s="14"/>
      <c r="W95" s="14"/>
      <c r="X95" s="14"/>
      <c r="Y95" s="14"/>
      <c r="Z95" s="14"/>
    </row>
    <row r="96" spans="1:26" x14ac:dyDescent="0.3">
      <c r="A96" s="14"/>
      <c r="B96" s="9" t="str">
        <f t="shared" ca="1" si="7"/>
        <v/>
      </c>
      <c r="C96" s="121" t="str">
        <f t="shared" ca="1" si="8"/>
        <v/>
      </c>
      <c r="D96" s="121"/>
      <c r="E96" s="121"/>
      <c r="F96" s="121"/>
      <c r="G96" s="14"/>
      <c r="H96" s="14"/>
      <c r="I96" s="14"/>
      <c r="J96" s="14"/>
      <c r="K96" s="14"/>
      <c r="L96" s="14"/>
      <c r="M96" s="14"/>
      <c r="N96" s="14"/>
      <c r="O96" s="14"/>
      <c r="P96" s="14"/>
      <c r="Q96" s="14"/>
      <c r="R96" s="14"/>
      <c r="S96" s="14"/>
      <c r="T96" s="14"/>
      <c r="U96" s="14"/>
      <c r="V96" s="14"/>
      <c r="W96" s="14"/>
      <c r="X96" s="14"/>
      <c r="Y96" s="14"/>
      <c r="Z96" s="14"/>
    </row>
    <row r="97" spans="1:26" x14ac:dyDescent="0.3">
      <c r="A97" s="14"/>
      <c r="B97" s="9" t="str">
        <f t="shared" ca="1" si="7"/>
        <v/>
      </c>
      <c r="C97" s="121" t="str">
        <f t="shared" ca="1" si="8"/>
        <v/>
      </c>
      <c r="D97" s="121"/>
      <c r="E97" s="121"/>
      <c r="F97" s="121"/>
      <c r="G97" s="14"/>
      <c r="H97" s="14"/>
      <c r="I97" s="14"/>
      <c r="J97" s="14"/>
      <c r="K97" s="14"/>
      <c r="L97" s="14"/>
      <c r="M97" s="14"/>
      <c r="N97" s="14"/>
      <c r="O97" s="14"/>
      <c r="P97" s="14"/>
      <c r="Q97" s="14"/>
      <c r="R97" s="14"/>
      <c r="S97" s="14"/>
      <c r="T97" s="14"/>
      <c r="U97" s="14"/>
      <c r="V97" s="14"/>
      <c r="W97" s="14"/>
      <c r="X97" s="14"/>
      <c r="Y97" s="14"/>
      <c r="Z97" s="14"/>
    </row>
    <row r="98" spans="1:26" x14ac:dyDescent="0.3">
      <c r="A98" s="14"/>
      <c r="B98" s="9" t="str">
        <f t="shared" ca="1" si="7"/>
        <v/>
      </c>
      <c r="C98" s="121" t="str">
        <f t="shared" ca="1" si="8"/>
        <v/>
      </c>
      <c r="D98" s="121"/>
      <c r="E98" s="121"/>
      <c r="F98" s="121"/>
      <c r="G98" s="14"/>
      <c r="H98" s="14"/>
      <c r="I98" s="14"/>
      <c r="J98" s="14"/>
      <c r="K98" s="14"/>
      <c r="L98" s="14"/>
      <c r="M98" s="14"/>
      <c r="N98" s="14"/>
      <c r="O98" s="14"/>
      <c r="P98" s="14"/>
      <c r="Q98" s="14"/>
      <c r="R98" s="14"/>
      <c r="S98" s="14"/>
      <c r="T98" s="14"/>
      <c r="U98" s="14"/>
      <c r="V98" s="14"/>
      <c r="W98" s="14"/>
      <c r="X98" s="14"/>
      <c r="Y98" s="14"/>
      <c r="Z98" s="14"/>
    </row>
    <row r="99" spans="1:26" x14ac:dyDescent="0.3">
      <c r="A99" s="14"/>
      <c r="B99" s="9" t="str">
        <f t="shared" ca="1" si="7"/>
        <v/>
      </c>
      <c r="C99" s="121" t="str">
        <f t="shared" ca="1" si="8"/>
        <v/>
      </c>
      <c r="D99" s="121"/>
      <c r="E99" s="121"/>
      <c r="F99" s="121"/>
      <c r="G99" s="14"/>
      <c r="H99" s="14"/>
      <c r="I99" s="14"/>
      <c r="J99" s="14"/>
      <c r="K99" s="14"/>
      <c r="L99" s="14"/>
      <c r="M99" s="14"/>
      <c r="N99" s="14"/>
      <c r="O99" s="14"/>
      <c r="P99" s="14"/>
      <c r="Q99" s="14"/>
      <c r="R99" s="14"/>
      <c r="S99" s="14"/>
      <c r="T99" s="14"/>
      <c r="U99" s="14"/>
      <c r="V99" s="14"/>
      <c r="W99" s="14"/>
      <c r="X99" s="14"/>
      <c r="Y99" s="14"/>
      <c r="Z99" s="14"/>
    </row>
    <row r="100" spans="1:26" x14ac:dyDescent="0.3">
      <c r="A100" s="14"/>
      <c r="B100" s="9" t="str">
        <f t="shared" ca="1" si="7"/>
        <v/>
      </c>
      <c r="C100" s="121" t="str">
        <f t="shared" ca="1" si="8"/>
        <v/>
      </c>
      <c r="D100" s="121"/>
      <c r="E100" s="121"/>
      <c r="F100" s="121"/>
      <c r="G100" s="14"/>
      <c r="H100" s="14"/>
      <c r="I100" s="14"/>
      <c r="J100" s="14"/>
      <c r="K100" s="14"/>
      <c r="L100" s="14"/>
      <c r="M100" s="14"/>
      <c r="N100" s="14"/>
      <c r="O100" s="14"/>
      <c r="P100" s="14"/>
      <c r="Q100" s="14"/>
      <c r="R100" s="14"/>
      <c r="S100" s="14"/>
      <c r="T100" s="14"/>
      <c r="U100" s="14"/>
      <c r="V100" s="14"/>
      <c r="W100" s="14"/>
      <c r="X100" s="14"/>
      <c r="Y100" s="14"/>
      <c r="Z100" s="14"/>
    </row>
    <row r="101" spans="1:26" x14ac:dyDescent="0.3">
      <c r="A101" s="14"/>
      <c r="G101" s="14"/>
      <c r="H101" s="14"/>
      <c r="I101" s="14"/>
      <c r="J101" s="14"/>
      <c r="K101" s="14"/>
      <c r="L101" s="14"/>
      <c r="M101" s="14"/>
      <c r="N101" s="14"/>
      <c r="O101" s="14"/>
      <c r="P101" s="14"/>
      <c r="Q101" s="14"/>
      <c r="R101" s="14"/>
      <c r="S101" s="14"/>
      <c r="T101" s="14"/>
      <c r="U101" s="14"/>
      <c r="V101" s="14"/>
      <c r="W101" s="14"/>
      <c r="X101" s="14"/>
      <c r="Y101" s="14"/>
      <c r="Z101" s="14"/>
    </row>
    <row r="102" spans="1:26" x14ac:dyDescent="0.3">
      <c r="O102" s="14"/>
      <c r="P102" s="14"/>
      <c r="Q102" s="14"/>
      <c r="R102" s="14"/>
      <c r="S102" s="14"/>
      <c r="T102" s="14"/>
      <c r="U102" s="14"/>
      <c r="V102" s="14"/>
      <c r="W102" s="14"/>
      <c r="X102" s="14"/>
      <c r="Y102" s="14"/>
      <c r="Z102" s="14"/>
    </row>
    <row r="103" spans="1:26" x14ac:dyDescent="0.3">
      <c r="O103" s="14"/>
      <c r="P103" s="14"/>
      <c r="Q103" s="14"/>
      <c r="R103" s="14"/>
      <c r="S103" s="14"/>
      <c r="T103" s="14"/>
      <c r="U103" s="14"/>
      <c r="V103" s="14"/>
      <c r="W103" s="14"/>
      <c r="X103" s="14"/>
      <c r="Y103" s="14"/>
      <c r="Z103" s="14"/>
    </row>
    <row r="104" spans="1:26" x14ac:dyDescent="0.3">
      <c r="O104" s="14"/>
      <c r="P104" s="14"/>
      <c r="Q104" s="14"/>
      <c r="R104" s="14"/>
      <c r="S104" s="14"/>
      <c r="T104" s="14"/>
      <c r="U104" s="14"/>
      <c r="V104" s="14"/>
      <c r="W104" s="14"/>
      <c r="X104" s="14"/>
      <c r="Y104" s="14"/>
      <c r="Z104" s="14"/>
    </row>
    <row r="105" spans="1:26" x14ac:dyDescent="0.3">
      <c r="O105" s="14"/>
      <c r="P105" s="14"/>
      <c r="Q105" s="14"/>
      <c r="R105" s="14"/>
      <c r="S105" s="14"/>
      <c r="T105" s="14"/>
      <c r="U105" s="14"/>
      <c r="V105" s="14"/>
      <c r="W105" s="14"/>
      <c r="X105" s="14"/>
      <c r="Y105" s="14"/>
      <c r="Z105" s="14"/>
    </row>
    <row r="106" spans="1:26" x14ac:dyDescent="0.3">
      <c r="O106" s="14"/>
      <c r="P106" s="14"/>
      <c r="Q106" s="14"/>
      <c r="R106" s="14"/>
      <c r="S106" s="14"/>
      <c r="T106" s="14"/>
      <c r="U106" s="14"/>
      <c r="V106" s="14"/>
      <c r="W106" s="14"/>
      <c r="X106" s="14"/>
      <c r="Y106" s="14"/>
      <c r="Z106" s="14"/>
    </row>
    <row r="107" spans="1:26" x14ac:dyDescent="0.3">
      <c r="O107" s="14"/>
      <c r="P107" s="14"/>
      <c r="Q107" s="14"/>
      <c r="R107" s="14"/>
      <c r="S107" s="14"/>
      <c r="T107" s="14"/>
      <c r="U107" s="14"/>
      <c r="V107" s="14"/>
      <c r="W107" s="14"/>
      <c r="X107" s="14"/>
      <c r="Y107" s="14"/>
      <c r="Z107" s="14"/>
    </row>
    <row r="108" spans="1:26" x14ac:dyDescent="0.3">
      <c r="O108" s="14"/>
      <c r="P108" s="14"/>
      <c r="Q108" s="14"/>
      <c r="R108" s="14"/>
      <c r="S108" s="14"/>
      <c r="T108" s="14"/>
      <c r="U108" s="14"/>
      <c r="V108" s="14"/>
      <c r="W108" s="14"/>
      <c r="X108" s="14"/>
      <c r="Y108" s="14"/>
      <c r="Z108" s="14"/>
    </row>
    <row r="109" spans="1:26" x14ac:dyDescent="0.3">
      <c r="O109" s="14"/>
      <c r="P109" s="14"/>
      <c r="Q109" s="14"/>
      <c r="R109" s="14"/>
      <c r="S109" s="14"/>
      <c r="T109" s="14"/>
      <c r="U109" s="14"/>
      <c r="V109" s="14"/>
      <c r="W109" s="14"/>
      <c r="X109" s="14"/>
      <c r="Y109" s="14"/>
      <c r="Z109" s="14"/>
    </row>
    <row r="110" spans="1:26" x14ac:dyDescent="0.3">
      <c r="O110" s="14"/>
      <c r="P110" s="14"/>
      <c r="Q110" s="14"/>
      <c r="R110" s="14"/>
      <c r="S110" s="14"/>
      <c r="T110" s="14"/>
      <c r="U110" s="14"/>
      <c r="V110" s="14"/>
      <c r="W110" s="14"/>
      <c r="X110" s="14"/>
      <c r="Y110" s="14"/>
      <c r="Z110" s="14"/>
    </row>
    <row r="111" spans="1:26" x14ac:dyDescent="0.3">
      <c r="O111" s="14"/>
      <c r="P111" s="14"/>
      <c r="Q111" s="14"/>
      <c r="R111" s="14"/>
      <c r="S111" s="14"/>
      <c r="T111" s="14"/>
      <c r="U111" s="14"/>
      <c r="V111" s="14"/>
      <c r="W111" s="14"/>
      <c r="X111" s="14"/>
      <c r="Y111" s="14"/>
      <c r="Z111" s="14"/>
    </row>
    <row r="112" spans="1:26" x14ac:dyDescent="0.3">
      <c r="O112" s="14"/>
      <c r="P112" s="14"/>
      <c r="Q112" s="14"/>
      <c r="R112" s="14"/>
      <c r="S112" s="14"/>
      <c r="T112" s="14"/>
      <c r="U112" s="14"/>
      <c r="V112" s="14"/>
      <c r="W112" s="14"/>
      <c r="X112" s="14"/>
      <c r="Y112" s="14"/>
      <c r="Z112" s="14"/>
    </row>
    <row r="113" spans="15:26" x14ac:dyDescent="0.3">
      <c r="O113" s="14"/>
      <c r="P113" s="14"/>
      <c r="Q113" s="14"/>
      <c r="R113" s="14"/>
      <c r="S113" s="14"/>
      <c r="T113" s="14"/>
      <c r="U113" s="14"/>
      <c r="V113" s="14"/>
      <c r="W113" s="14"/>
      <c r="X113" s="14"/>
      <c r="Y113" s="14"/>
      <c r="Z113" s="14"/>
    </row>
    <row r="114" spans="15:26" x14ac:dyDescent="0.3">
      <c r="O114" s="14"/>
      <c r="P114" s="14"/>
      <c r="Q114" s="14"/>
      <c r="R114" s="14"/>
      <c r="S114" s="14"/>
      <c r="T114" s="14"/>
      <c r="U114" s="14"/>
      <c r="V114" s="14"/>
      <c r="W114" s="14"/>
      <c r="X114" s="14"/>
      <c r="Y114" s="14"/>
      <c r="Z114" s="14"/>
    </row>
    <row r="115" spans="15:26" x14ac:dyDescent="0.3">
      <c r="O115" s="14"/>
      <c r="P115" s="14"/>
      <c r="Q115" s="14"/>
      <c r="R115" s="14"/>
      <c r="S115" s="14"/>
      <c r="T115" s="14"/>
      <c r="U115" s="14"/>
      <c r="V115" s="14"/>
      <c r="W115" s="14"/>
      <c r="X115" s="14"/>
      <c r="Y115" s="14"/>
      <c r="Z115" s="14"/>
    </row>
    <row r="116" spans="15:26" x14ac:dyDescent="0.3">
      <c r="O116" s="14"/>
      <c r="P116" s="14"/>
      <c r="Q116" s="14"/>
      <c r="R116" s="14"/>
      <c r="S116" s="14"/>
      <c r="T116" s="14"/>
      <c r="U116" s="14"/>
      <c r="V116" s="14"/>
      <c r="W116" s="14"/>
      <c r="X116" s="14"/>
      <c r="Y116" s="14"/>
      <c r="Z116" s="14"/>
    </row>
    <row r="117" spans="15:26" x14ac:dyDescent="0.3">
      <c r="O117" s="14"/>
      <c r="P117" s="14"/>
      <c r="Q117" s="14"/>
      <c r="R117" s="14"/>
      <c r="S117" s="14"/>
      <c r="T117" s="14"/>
      <c r="U117" s="14"/>
      <c r="V117" s="14"/>
      <c r="W117" s="14"/>
      <c r="X117" s="14"/>
      <c r="Y117" s="14"/>
      <c r="Z117" s="14"/>
    </row>
    <row r="118" spans="15:26" x14ac:dyDescent="0.3">
      <c r="O118" s="14"/>
      <c r="P118" s="14"/>
      <c r="Q118" s="14"/>
      <c r="R118" s="14"/>
      <c r="S118" s="14"/>
      <c r="T118" s="14"/>
      <c r="U118" s="14"/>
      <c r="V118" s="14"/>
      <c r="W118" s="14"/>
      <c r="X118" s="14"/>
      <c r="Y118" s="14"/>
      <c r="Z118" s="14"/>
    </row>
    <row r="119" spans="15:26" x14ac:dyDescent="0.3">
      <c r="O119" s="14"/>
      <c r="P119" s="14"/>
      <c r="Q119" s="14"/>
      <c r="R119" s="14"/>
      <c r="S119" s="14"/>
      <c r="T119" s="14"/>
      <c r="U119" s="14"/>
      <c r="V119" s="14"/>
      <c r="W119" s="14"/>
      <c r="X119" s="14"/>
      <c r="Y119" s="14"/>
      <c r="Z119" s="14"/>
    </row>
    <row r="120" spans="15:26" x14ac:dyDescent="0.3">
      <c r="O120" s="14"/>
      <c r="P120" s="14"/>
      <c r="Q120" s="14"/>
      <c r="R120" s="14"/>
      <c r="S120" s="14"/>
      <c r="T120" s="14"/>
      <c r="U120" s="14"/>
      <c r="V120" s="14"/>
      <c r="W120" s="14"/>
      <c r="X120" s="14"/>
      <c r="Y120" s="14"/>
      <c r="Z120" s="14"/>
    </row>
    <row r="121" spans="15:26" x14ac:dyDescent="0.3">
      <c r="O121" s="14"/>
      <c r="P121" s="14"/>
      <c r="Q121" s="14"/>
      <c r="R121" s="14"/>
      <c r="S121" s="14"/>
      <c r="T121" s="14"/>
      <c r="U121" s="14"/>
      <c r="V121" s="14"/>
      <c r="W121" s="14"/>
      <c r="X121" s="14"/>
      <c r="Y121" s="14"/>
      <c r="Z121" s="14"/>
    </row>
    <row r="122" spans="15:26" x14ac:dyDescent="0.3">
      <c r="O122" s="14"/>
      <c r="P122" s="14"/>
      <c r="Q122" s="14"/>
      <c r="R122" s="14"/>
      <c r="S122" s="14"/>
      <c r="T122" s="14"/>
      <c r="U122" s="14"/>
      <c r="V122" s="14"/>
      <c r="W122" s="14"/>
      <c r="X122" s="14"/>
      <c r="Y122" s="14"/>
      <c r="Z122" s="14"/>
    </row>
    <row r="123" spans="15:26" x14ac:dyDescent="0.3">
      <c r="O123" s="14"/>
      <c r="P123" s="14"/>
      <c r="Q123" s="14"/>
      <c r="R123" s="14"/>
      <c r="S123" s="14"/>
      <c r="T123" s="14"/>
      <c r="U123" s="14"/>
      <c r="V123" s="14"/>
      <c r="W123" s="14"/>
      <c r="X123" s="14"/>
      <c r="Y123" s="14"/>
      <c r="Z123" s="14"/>
    </row>
    <row r="124" spans="15:26" x14ac:dyDescent="0.3">
      <c r="O124" s="14"/>
      <c r="P124" s="14"/>
      <c r="Q124" s="14"/>
      <c r="R124" s="14"/>
      <c r="S124" s="14"/>
      <c r="T124" s="14"/>
      <c r="U124" s="14"/>
      <c r="V124" s="14"/>
      <c r="W124" s="14"/>
      <c r="X124" s="14"/>
      <c r="Y124" s="14"/>
      <c r="Z124" s="14"/>
    </row>
    <row r="125" spans="15:26" x14ac:dyDescent="0.3">
      <c r="O125" s="14"/>
      <c r="P125" s="14"/>
      <c r="Q125" s="14"/>
      <c r="R125" s="14"/>
      <c r="S125" s="14"/>
      <c r="T125" s="14"/>
      <c r="U125" s="14"/>
      <c r="V125" s="14"/>
      <c r="W125" s="14"/>
      <c r="X125" s="14"/>
      <c r="Y125" s="14"/>
      <c r="Z125" s="14"/>
    </row>
    <row r="126" spans="15:26" x14ac:dyDescent="0.3">
      <c r="O126" s="14"/>
      <c r="P126" s="14"/>
      <c r="Q126" s="14"/>
      <c r="R126" s="14"/>
      <c r="S126" s="14"/>
      <c r="T126" s="14"/>
      <c r="U126" s="14"/>
      <c r="V126" s="14"/>
      <c r="W126" s="14"/>
      <c r="X126" s="14"/>
      <c r="Y126" s="14"/>
      <c r="Z126" s="14"/>
    </row>
    <row r="127" spans="15:26" x14ac:dyDescent="0.3">
      <c r="O127" s="14"/>
      <c r="P127" s="14"/>
      <c r="Q127" s="14"/>
      <c r="R127" s="14"/>
      <c r="S127" s="14"/>
      <c r="T127" s="14"/>
      <c r="U127" s="14"/>
      <c r="V127" s="14"/>
      <c r="W127" s="14"/>
      <c r="X127" s="14"/>
      <c r="Y127" s="14"/>
      <c r="Z127" s="14"/>
    </row>
    <row r="128" spans="15:26" x14ac:dyDescent="0.3">
      <c r="O128" s="14"/>
      <c r="P128" s="14"/>
      <c r="Q128" s="14"/>
      <c r="R128" s="14"/>
      <c r="S128" s="14"/>
      <c r="T128" s="14"/>
      <c r="U128" s="14"/>
      <c r="V128" s="14"/>
      <c r="W128" s="14"/>
      <c r="X128" s="14"/>
      <c r="Y128" s="14"/>
      <c r="Z128" s="14"/>
    </row>
    <row r="129" spans="15:26" x14ac:dyDescent="0.3">
      <c r="O129" s="14"/>
      <c r="P129" s="14"/>
      <c r="Q129" s="14"/>
      <c r="R129" s="14"/>
      <c r="S129" s="14"/>
      <c r="T129" s="14"/>
      <c r="U129" s="14"/>
      <c r="V129" s="14"/>
      <c r="W129" s="14"/>
      <c r="X129" s="14"/>
      <c r="Y129" s="14"/>
      <c r="Z129" s="14"/>
    </row>
    <row r="130" spans="15:26" x14ac:dyDescent="0.3">
      <c r="O130" s="14"/>
      <c r="P130" s="14"/>
      <c r="Q130" s="14"/>
      <c r="R130" s="14"/>
      <c r="S130" s="14"/>
      <c r="T130" s="14"/>
      <c r="U130" s="14"/>
      <c r="V130" s="14"/>
      <c r="W130" s="14"/>
      <c r="X130" s="14"/>
      <c r="Y130" s="14"/>
      <c r="Z130" s="14"/>
    </row>
    <row r="131" spans="15:26" x14ac:dyDescent="0.3">
      <c r="O131" s="14"/>
      <c r="P131" s="14"/>
      <c r="Q131" s="14"/>
      <c r="R131" s="14"/>
      <c r="S131" s="14"/>
      <c r="T131" s="14"/>
      <c r="U131" s="14"/>
      <c r="V131" s="14"/>
      <c r="W131" s="14"/>
      <c r="X131" s="14"/>
      <c r="Y131" s="14"/>
      <c r="Z131" s="14"/>
    </row>
    <row r="132" spans="15:26" x14ac:dyDescent="0.3">
      <c r="O132" s="14"/>
      <c r="P132" s="14"/>
      <c r="Q132" s="14"/>
      <c r="R132" s="14"/>
      <c r="S132" s="14"/>
      <c r="T132" s="14"/>
      <c r="U132" s="14"/>
      <c r="V132" s="14"/>
      <c r="W132" s="14"/>
      <c r="X132" s="14"/>
      <c r="Y132" s="14"/>
      <c r="Z132" s="14"/>
    </row>
    <row r="133" spans="15:26" x14ac:dyDescent="0.3">
      <c r="O133" s="14"/>
      <c r="P133" s="14"/>
      <c r="Q133" s="14"/>
      <c r="R133" s="14"/>
      <c r="S133" s="14"/>
      <c r="T133" s="14"/>
      <c r="U133" s="14"/>
      <c r="V133" s="14"/>
      <c r="W133" s="14"/>
      <c r="X133" s="14"/>
      <c r="Y133" s="14"/>
      <c r="Z133" s="14"/>
    </row>
    <row r="134" spans="15:26" x14ac:dyDescent="0.3">
      <c r="O134" s="14"/>
      <c r="P134" s="14"/>
      <c r="Q134" s="14"/>
      <c r="R134" s="14"/>
      <c r="S134" s="14"/>
      <c r="T134" s="14"/>
      <c r="U134" s="14"/>
      <c r="V134" s="14"/>
      <c r="W134" s="14"/>
      <c r="X134" s="14"/>
      <c r="Y134" s="14"/>
      <c r="Z134" s="14"/>
    </row>
    <row r="135" spans="15:26" x14ac:dyDescent="0.3">
      <c r="O135" s="14"/>
      <c r="P135" s="14"/>
      <c r="Q135" s="14"/>
      <c r="R135" s="14"/>
      <c r="S135" s="14"/>
      <c r="T135" s="14"/>
      <c r="U135" s="14"/>
      <c r="V135" s="14"/>
      <c r="W135" s="14"/>
      <c r="X135" s="14"/>
      <c r="Y135" s="14"/>
      <c r="Z135" s="14"/>
    </row>
    <row r="136" spans="15:26" x14ac:dyDescent="0.3">
      <c r="O136" s="14"/>
      <c r="P136" s="14"/>
      <c r="Q136" s="14"/>
      <c r="R136" s="14"/>
      <c r="S136" s="14"/>
      <c r="T136" s="14"/>
      <c r="U136" s="14"/>
      <c r="V136" s="14"/>
      <c r="W136" s="14"/>
      <c r="X136" s="14"/>
      <c r="Y136" s="14"/>
      <c r="Z136" s="14"/>
    </row>
    <row r="137" spans="15:26" x14ac:dyDescent="0.3">
      <c r="O137" s="14"/>
      <c r="P137" s="14"/>
      <c r="Q137" s="14"/>
      <c r="R137" s="14"/>
      <c r="S137" s="14"/>
      <c r="T137" s="14"/>
      <c r="U137" s="14"/>
      <c r="V137" s="14"/>
      <c r="W137" s="14"/>
      <c r="X137" s="14"/>
      <c r="Y137" s="14"/>
      <c r="Z137" s="14"/>
    </row>
    <row r="138" spans="15:26" x14ac:dyDescent="0.3">
      <c r="O138" s="14"/>
      <c r="P138" s="14"/>
      <c r="Q138" s="14"/>
      <c r="R138" s="14"/>
      <c r="S138" s="14"/>
      <c r="T138" s="14"/>
      <c r="U138" s="14"/>
      <c r="V138" s="14"/>
      <c r="W138" s="14"/>
      <c r="X138" s="14"/>
      <c r="Y138" s="14"/>
      <c r="Z138" s="14"/>
    </row>
    <row r="139" spans="15:26" x14ac:dyDescent="0.3">
      <c r="O139" s="14"/>
      <c r="P139" s="14"/>
      <c r="Q139" s="14"/>
      <c r="R139" s="14"/>
      <c r="S139" s="14"/>
      <c r="T139" s="14"/>
      <c r="U139" s="14"/>
      <c r="V139" s="14"/>
      <c r="W139" s="14"/>
      <c r="X139" s="14"/>
      <c r="Y139" s="14"/>
      <c r="Z139" s="14"/>
    </row>
    <row r="140" spans="15:26" x14ac:dyDescent="0.3">
      <c r="O140" s="14"/>
      <c r="P140" s="14"/>
      <c r="Q140" s="14"/>
      <c r="R140" s="14"/>
      <c r="S140" s="14"/>
      <c r="T140" s="14"/>
      <c r="U140" s="14"/>
      <c r="V140" s="14"/>
      <c r="W140" s="14"/>
      <c r="X140" s="14"/>
      <c r="Y140" s="14"/>
      <c r="Z140" s="14"/>
    </row>
    <row r="141" spans="15:26" x14ac:dyDescent="0.3">
      <c r="O141" s="14"/>
      <c r="P141" s="14"/>
      <c r="Q141" s="14"/>
      <c r="R141" s="14"/>
      <c r="S141" s="14"/>
      <c r="T141" s="14"/>
      <c r="U141" s="14"/>
      <c r="V141" s="14"/>
      <c r="W141" s="14"/>
      <c r="X141" s="14"/>
      <c r="Y141" s="14"/>
      <c r="Z141" s="14"/>
    </row>
    <row r="142" spans="15:26" x14ac:dyDescent="0.3">
      <c r="O142" s="14"/>
      <c r="P142" s="14"/>
      <c r="Q142" s="14"/>
      <c r="R142" s="14"/>
      <c r="S142" s="14"/>
      <c r="T142" s="14"/>
      <c r="U142" s="14"/>
      <c r="V142" s="14"/>
      <c r="W142" s="14"/>
      <c r="X142" s="14"/>
      <c r="Y142" s="14"/>
      <c r="Z142" s="14"/>
    </row>
    <row r="143" spans="15:26" x14ac:dyDescent="0.3">
      <c r="O143" s="14"/>
      <c r="P143" s="14"/>
      <c r="Q143" s="14"/>
      <c r="R143" s="14"/>
      <c r="S143" s="14"/>
      <c r="T143" s="14"/>
      <c r="U143" s="14"/>
      <c r="V143" s="14"/>
      <c r="W143" s="14"/>
      <c r="X143" s="14"/>
      <c r="Y143" s="14"/>
      <c r="Z143" s="14"/>
    </row>
    <row r="144" spans="15:26" x14ac:dyDescent="0.3">
      <c r="O144" s="14"/>
      <c r="P144" s="14"/>
      <c r="Q144" s="14"/>
      <c r="R144" s="14"/>
      <c r="S144" s="14"/>
      <c r="T144" s="14"/>
      <c r="U144" s="14"/>
      <c r="V144" s="14"/>
      <c r="W144" s="14"/>
      <c r="X144" s="14"/>
      <c r="Y144" s="14"/>
      <c r="Z144" s="14"/>
    </row>
    <row r="145" spans="15:26" x14ac:dyDescent="0.3">
      <c r="O145" s="14"/>
      <c r="P145" s="14"/>
      <c r="Q145" s="14"/>
      <c r="R145" s="14"/>
      <c r="S145" s="14"/>
      <c r="T145" s="14"/>
      <c r="U145" s="14"/>
      <c r="V145" s="14"/>
      <c r="W145" s="14"/>
      <c r="X145" s="14"/>
      <c r="Y145" s="14"/>
      <c r="Z145" s="14"/>
    </row>
    <row r="146" spans="15:26" x14ac:dyDescent="0.3">
      <c r="O146" s="14"/>
      <c r="P146" s="14"/>
      <c r="Q146" s="14"/>
      <c r="R146" s="14"/>
      <c r="S146" s="14"/>
      <c r="T146" s="14"/>
      <c r="U146" s="14"/>
      <c r="V146" s="14"/>
      <c r="W146" s="14"/>
      <c r="X146" s="14"/>
      <c r="Y146" s="14"/>
      <c r="Z146" s="14"/>
    </row>
    <row r="147" spans="15:26" x14ac:dyDescent="0.3">
      <c r="O147" s="14"/>
      <c r="P147" s="14"/>
      <c r="Q147" s="14"/>
      <c r="R147" s="14"/>
      <c r="S147" s="14"/>
      <c r="T147" s="14"/>
      <c r="U147" s="14"/>
      <c r="V147" s="14"/>
      <c r="W147" s="14"/>
      <c r="X147" s="14"/>
      <c r="Y147" s="14"/>
      <c r="Z147" s="14"/>
    </row>
    <row r="148" spans="15:26" x14ac:dyDescent="0.3">
      <c r="O148" s="14"/>
      <c r="P148" s="14"/>
      <c r="Q148" s="14"/>
      <c r="R148" s="14"/>
      <c r="S148" s="14"/>
      <c r="T148" s="14"/>
      <c r="U148" s="14"/>
      <c r="V148" s="14"/>
      <c r="W148" s="14"/>
      <c r="X148" s="14"/>
      <c r="Y148" s="14"/>
      <c r="Z148" s="14"/>
    </row>
    <row r="149" spans="15:26" x14ac:dyDescent="0.3">
      <c r="O149" s="14"/>
      <c r="P149" s="14"/>
      <c r="Q149" s="14"/>
      <c r="R149" s="14"/>
      <c r="S149" s="14"/>
      <c r="T149" s="14"/>
      <c r="U149" s="14"/>
      <c r="V149" s="14"/>
      <c r="W149" s="14"/>
      <c r="X149" s="14"/>
      <c r="Y149" s="14"/>
      <c r="Z149" s="14"/>
    </row>
    <row r="150" spans="15:26" x14ac:dyDescent="0.3">
      <c r="O150" s="14"/>
      <c r="P150" s="14"/>
      <c r="Q150" s="14"/>
      <c r="R150" s="14"/>
      <c r="S150" s="14"/>
      <c r="T150" s="14"/>
      <c r="U150" s="14"/>
      <c r="V150" s="14"/>
      <c r="W150" s="14"/>
      <c r="X150" s="14"/>
      <c r="Y150" s="14"/>
      <c r="Z150" s="14"/>
    </row>
    <row r="151" spans="15:26" x14ac:dyDescent="0.3">
      <c r="O151" s="14"/>
      <c r="P151" s="14"/>
      <c r="Q151" s="14"/>
      <c r="R151" s="14"/>
      <c r="S151" s="14"/>
      <c r="T151" s="14"/>
      <c r="U151" s="14"/>
      <c r="V151" s="14"/>
      <c r="W151" s="14"/>
      <c r="X151" s="14"/>
      <c r="Y151" s="14"/>
      <c r="Z151" s="14"/>
    </row>
    <row r="152" spans="15:26" x14ac:dyDescent="0.3">
      <c r="O152" s="14"/>
      <c r="P152" s="14"/>
      <c r="Q152" s="14"/>
      <c r="R152" s="14"/>
      <c r="S152" s="14"/>
      <c r="T152" s="14"/>
      <c r="U152" s="14"/>
      <c r="V152" s="14"/>
      <c r="W152" s="14"/>
      <c r="X152" s="14"/>
      <c r="Y152" s="14"/>
      <c r="Z152" s="14"/>
    </row>
    <row r="153" spans="15:26" x14ac:dyDescent="0.3">
      <c r="O153" s="14"/>
      <c r="P153" s="14"/>
      <c r="Q153" s="14"/>
      <c r="R153" s="14"/>
      <c r="S153" s="14"/>
      <c r="T153" s="14"/>
      <c r="U153" s="14"/>
      <c r="V153" s="14"/>
      <c r="W153" s="14"/>
      <c r="X153" s="14"/>
      <c r="Y153" s="14"/>
      <c r="Z153" s="14"/>
    </row>
    <row r="154" spans="15:26" x14ac:dyDescent="0.3">
      <c r="O154" s="14"/>
      <c r="P154" s="14"/>
      <c r="Q154" s="14"/>
      <c r="R154" s="14"/>
      <c r="S154" s="14"/>
      <c r="T154" s="14"/>
      <c r="U154" s="14"/>
      <c r="V154" s="14"/>
      <c r="W154" s="14"/>
      <c r="X154" s="14"/>
      <c r="Y154" s="14"/>
      <c r="Z154" s="14"/>
    </row>
    <row r="155" spans="15:26" x14ac:dyDescent="0.3">
      <c r="O155" s="14"/>
      <c r="P155" s="14"/>
      <c r="Q155" s="14"/>
      <c r="R155" s="14"/>
      <c r="S155" s="14"/>
      <c r="T155" s="14"/>
      <c r="U155" s="14"/>
      <c r="V155" s="14"/>
      <c r="W155" s="14"/>
      <c r="X155" s="14"/>
      <c r="Y155" s="14"/>
      <c r="Z155" s="14"/>
    </row>
    <row r="156" spans="15:26" x14ac:dyDescent="0.3">
      <c r="O156" s="14"/>
      <c r="P156" s="14"/>
      <c r="Q156" s="14"/>
      <c r="R156" s="14"/>
      <c r="S156" s="14"/>
      <c r="T156" s="14"/>
      <c r="U156" s="14"/>
      <c r="V156" s="14"/>
      <c r="W156" s="14"/>
      <c r="X156" s="14"/>
      <c r="Y156" s="14"/>
      <c r="Z156" s="14"/>
    </row>
    <row r="157" spans="15:26" x14ac:dyDescent="0.3">
      <c r="O157" s="14"/>
      <c r="P157" s="14"/>
      <c r="Q157" s="14"/>
      <c r="R157" s="14"/>
      <c r="S157" s="14"/>
      <c r="T157" s="14"/>
      <c r="U157" s="14"/>
      <c r="V157" s="14"/>
      <c r="W157" s="14"/>
      <c r="X157" s="14"/>
      <c r="Y157" s="14"/>
      <c r="Z157" s="14"/>
    </row>
    <row r="158" spans="15:26" x14ac:dyDescent="0.3">
      <c r="O158" s="14"/>
      <c r="P158" s="14"/>
      <c r="Q158" s="14"/>
      <c r="R158" s="14"/>
      <c r="S158" s="14"/>
      <c r="T158" s="14"/>
      <c r="U158" s="14"/>
      <c r="V158" s="14"/>
      <c r="W158" s="14"/>
      <c r="X158" s="14"/>
      <c r="Y158" s="14"/>
      <c r="Z158" s="14"/>
    </row>
    <row r="159" spans="15:26" x14ac:dyDescent="0.3">
      <c r="O159" s="14"/>
      <c r="P159" s="14"/>
      <c r="Q159" s="14"/>
      <c r="R159" s="14"/>
      <c r="S159" s="14"/>
      <c r="T159" s="14"/>
      <c r="U159" s="14"/>
      <c r="V159" s="14"/>
      <c r="W159" s="14"/>
      <c r="X159" s="14"/>
      <c r="Y159" s="14"/>
      <c r="Z159" s="14"/>
    </row>
  </sheetData>
  <mergeCells count="84">
    <mergeCell ref="C94:F94"/>
    <mergeCell ref="C100:F100"/>
    <mergeCell ref="C95:F95"/>
    <mergeCell ref="C96:F96"/>
    <mergeCell ref="C97:F97"/>
    <mergeCell ref="C98:F98"/>
    <mergeCell ref="C99:F99"/>
    <mergeCell ref="C89:F89"/>
    <mergeCell ref="C90:F90"/>
    <mergeCell ref="C91:F91"/>
    <mergeCell ref="C92:F92"/>
    <mergeCell ref="C93:F93"/>
    <mergeCell ref="C84:F84"/>
    <mergeCell ref="C85:F85"/>
    <mergeCell ref="C86:F86"/>
    <mergeCell ref="C87:F87"/>
    <mergeCell ref="C88:F88"/>
    <mergeCell ref="C79:F79"/>
    <mergeCell ref="C80:F80"/>
    <mergeCell ref="C81:F81"/>
    <mergeCell ref="C82:F82"/>
    <mergeCell ref="C83:F83"/>
    <mergeCell ref="C74:F74"/>
    <mergeCell ref="C75:F75"/>
    <mergeCell ref="C76:F76"/>
    <mergeCell ref="C77:F77"/>
    <mergeCell ref="C78:F78"/>
    <mergeCell ref="C69:F69"/>
    <mergeCell ref="C70:F70"/>
    <mergeCell ref="C71:F71"/>
    <mergeCell ref="C72:F72"/>
    <mergeCell ref="C73:F73"/>
    <mergeCell ref="C64:F64"/>
    <mergeCell ref="C65:F65"/>
    <mergeCell ref="C66:F66"/>
    <mergeCell ref="C67:F67"/>
    <mergeCell ref="C68:F68"/>
    <mergeCell ref="C59:F59"/>
    <mergeCell ref="C60:F60"/>
    <mergeCell ref="C61:F61"/>
    <mergeCell ref="C62:F62"/>
    <mergeCell ref="C63:F63"/>
    <mergeCell ref="C54:F54"/>
    <mergeCell ref="C55:F55"/>
    <mergeCell ref="C56:F56"/>
    <mergeCell ref="C57:F57"/>
    <mergeCell ref="C58:F58"/>
    <mergeCell ref="C49:F49"/>
    <mergeCell ref="C50:F50"/>
    <mergeCell ref="C51:F51"/>
    <mergeCell ref="C52:F52"/>
    <mergeCell ref="C53:F53"/>
    <mergeCell ref="C44:F44"/>
    <mergeCell ref="C45:F45"/>
    <mergeCell ref="C46:F46"/>
    <mergeCell ref="C47:F47"/>
    <mergeCell ref="C48:F48"/>
    <mergeCell ref="C39:F39"/>
    <mergeCell ref="C40:F40"/>
    <mergeCell ref="C41:F41"/>
    <mergeCell ref="C42:F42"/>
    <mergeCell ref="C43:F43"/>
    <mergeCell ref="C34:F34"/>
    <mergeCell ref="C35:F35"/>
    <mergeCell ref="C36:F36"/>
    <mergeCell ref="C37:F37"/>
    <mergeCell ref="C38:F38"/>
    <mergeCell ref="C29:F29"/>
    <mergeCell ref="C30:F30"/>
    <mergeCell ref="C31:F31"/>
    <mergeCell ref="C32:F32"/>
    <mergeCell ref="C33:F33"/>
    <mergeCell ref="C24:F24"/>
    <mergeCell ref="C25:F25"/>
    <mergeCell ref="C26:F26"/>
    <mergeCell ref="C27:F27"/>
    <mergeCell ref="C28:F28"/>
    <mergeCell ref="K3:L3"/>
    <mergeCell ref="A1:F1"/>
    <mergeCell ref="A2:F2"/>
    <mergeCell ref="G3:H3"/>
    <mergeCell ref="C23:F23"/>
    <mergeCell ref="K1:K2"/>
    <mergeCell ref="G1:G2"/>
  </mergeCells>
  <conditionalFormatting sqref="O54">
    <cfRule type="cellIs" dxfId="46" priority="3" operator="notEqual">
      <formula>100</formula>
    </cfRule>
  </conditionalFormatting>
  <conditionalFormatting sqref="A16:A20">
    <cfRule type="notContainsText" dxfId="45" priority="2" operator="notContains" text="100">
      <formula>ISERROR(SEARCH("100",A16))</formula>
    </cfRule>
  </conditionalFormatting>
  <conditionalFormatting sqref="D16:D20">
    <cfRule type="expression" dxfId="44" priority="1">
      <formula>SUMIF($D$16:$D$20,"="&amp;D16,$F$16:$F$20)&lt;&gt;100</formula>
    </cfRule>
  </conditionalFormatting>
  <dataValidations count="7">
    <dataValidation type="list" allowBlank="1" showInputMessage="1" sqref="C6" xr:uid="{00000000-0002-0000-0000-000000000000}">
      <formula1>$BB$1:$BB$8</formula1>
    </dataValidation>
    <dataValidation type="list" allowBlank="1" showInputMessage="1" sqref="C7" xr:uid="{00000000-0002-0000-0000-000001000000}">
      <formula1>$BC$1:$BC$3</formula1>
    </dataValidation>
    <dataValidation type="list" allowBlank="1" showInputMessage="1" showErrorMessage="1" sqref="L4:L53" xr:uid="{00000000-0002-0000-0000-000002000000}">
      <formula1>$AW$1:$AW$11</formula1>
    </dataValidation>
    <dataValidation type="list" allowBlank="1" sqref="M4:M53" xr:uid="{00000000-0002-0000-0000-000003000000}">
      <formula1>$B$16:$B$20</formula1>
    </dataValidation>
    <dataValidation type="list" allowBlank="1" showInputMessage="1" sqref="I4:I53" xr:uid="{00000000-0002-0000-0000-000004000000}">
      <formula1>$AW$1:$AW$13</formula1>
    </dataValidation>
    <dataValidation type="list" allowBlank="1" showInputMessage="1" sqref="C8" xr:uid="{00000000-0002-0000-0000-000005000000}">
      <formula1>$AT$1:$AT$3</formula1>
    </dataValidation>
    <dataValidation type="list" allowBlank="1" showInputMessage="1" sqref="H4:H53" xr:uid="{00000000-0002-0000-0000-000006000000}">
      <formula1>$AY$1:$AY$13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print="0" autoFill="0" autoPict="0" macro="[0]!LoadCoordinator">
                <anchor moveWithCells="1" sizeWithCells="1">
                  <from>
                    <xdr:col>4</xdr:col>
                    <xdr:colOff>0</xdr:colOff>
                    <xdr:row>3</xdr:row>
                    <xdr:rowOff>30480</xdr:rowOff>
                  </from>
                  <to>
                    <xdr:col>5</xdr:col>
                    <xdr:colOff>655320</xdr:colOff>
                    <xdr:row>5</xdr:row>
                    <xdr:rowOff>152400</xdr:rowOff>
                  </to>
                </anchor>
              </controlPr>
            </control>
          </mc:Choice>
        </mc:AlternateContent>
        <mc:AlternateContent xmlns:mc="http://schemas.openxmlformats.org/markup-compatibility/2006">
          <mc:Choice Requires="x14">
            <control shapeId="1042" r:id="rId5" name="Button 18">
              <controlPr defaultSize="0" print="0" autoFill="0" autoPict="0" macro="[0]!QOBEsheetGenerator">
                <anchor moveWithCells="1" sizeWithCells="1">
                  <from>
                    <xdr:col>13</xdr:col>
                    <xdr:colOff>251460</xdr:colOff>
                    <xdr:row>0</xdr:row>
                    <xdr:rowOff>0</xdr:rowOff>
                  </from>
                  <to>
                    <xdr:col>15</xdr:col>
                    <xdr:colOff>7620</xdr:colOff>
                    <xdr:row>2</xdr:row>
                    <xdr:rowOff>0</xdr:rowOff>
                  </to>
                </anchor>
              </controlPr>
            </control>
          </mc:Choice>
        </mc:AlternateContent>
        <mc:AlternateContent xmlns:mc="http://schemas.openxmlformats.org/markup-compatibility/2006">
          <mc:Choice Requires="x14">
            <control shapeId="1050" r:id="rId6" name="Button 26">
              <controlPr defaultSize="0" print="0" autoFill="0" autoPict="0" macro="[0]!LoadCorrectiveMeasures">
                <anchor moveWithCells="1" sizeWithCells="1">
                  <from>
                    <xdr:col>1</xdr:col>
                    <xdr:colOff>731520</xdr:colOff>
                    <xdr:row>20</xdr:row>
                    <xdr:rowOff>106680</xdr:rowOff>
                  </from>
                  <to>
                    <xdr:col>2</xdr:col>
                    <xdr:colOff>2316480</xdr:colOff>
                    <xdr:row>21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000-000007000000}">
          <x14:formula1>
            <xm:f>BatchList!$A$2:$A$156</xm:f>
          </x14:formula1>
          <xm:sqref>C3</xm:sqref>
        </x14:dataValidation>
        <x14:dataValidation type="list" allowBlank="1" xr:uid="{00000000-0002-0000-0000-000008000000}">
          <x14:formula1>
            <xm:f>CoursesFaculty!$B$3:$B$652</xm:f>
          </x14:formula1>
          <xm:sqref>C4</xm:sqref>
        </x14:dataValidation>
        <x14:dataValidation type="list" allowBlank="1" xr:uid="{00000000-0002-0000-0000-000009000000}">
          <x14:formula1>
            <xm:f>CoursesFaculty!$D$3:$D$266</xm:f>
          </x14:formula1>
          <xm:sqref>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6D36E-EDB4-47F9-BD0D-CD2FF1FC80CC}">
  <sheetPr codeName="Sheet10"/>
  <dimension ref="A1:F2"/>
  <sheetViews>
    <sheetView workbookViewId="0">
      <selection activeCell="F1" sqref="F1"/>
    </sheetView>
  </sheetViews>
  <sheetFormatPr defaultRowHeight="14.4" x14ac:dyDescent="0.3"/>
  <cols>
    <col min="1" max="1" width="10.77734375" style="97" bestFit="1" customWidth="1"/>
    <col min="2" max="2" width="44" style="97" bestFit="1" customWidth="1"/>
    <col min="3" max="3" width="32.33203125" style="97" bestFit="1" customWidth="1"/>
  </cols>
  <sheetData>
    <row r="1" spans="1:6" x14ac:dyDescent="0.3">
      <c r="A1" s="97" t="s">
        <v>105</v>
      </c>
      <c r="B1" s="97" t="s">
        <v>106</v>
      </c>
      <c r="C1" s="97" t="s">
        <v>107</v>
      </c>
      <c r="D1" t="s">
        <v>747</v>
      </c>
      <c r="E1" t="s">
        <v>744</v>
      </c>
      <c r="F1" t="str" cm="1">
        <f t="array" ref="F1">IF(E1=chkVer[Column1],"YES","NO")</f>
        <v>YES</v>
      </c>
    </row>
    <row r="2" spans="1:6" x14ac:dyDescent="0.3">
      <c r="A2" s="89" t="s">
        <v>744</v>
      </c>
      <c r="B2" s="89" t="s">
        <v>745</v>
      </c>
      <c r="C2" s="89" t="s">
        <v>746</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79359-03BC-4E8D-B3D2-7C8EF239AD34}">
  <sheetPr codeName="Sheet11"/>
  <dimension ref="A1:A240"/>
  <sheetViews>
    <sheetView tabSelected="1" workbookViewId="0">
      <selection activeCell="A7" sqref="A7"/>
    </sheetView>
  </sheetViews>
  <sheetFormatPr defaultColWidth="0" defaultRowHeight="14.4" zeroHeight="1" x14ac:dyDescent="0.3"/>
  <cols>
    <col min="1" max="1" width="167" customWidth="1"/>
    <col min="2" max="16384" width="9.109375" hidden="1"/>
  </cols>
  <sheetData>
    <row r="1" spans="1:1" s="97" customFormat="1" ht="57.6" x14ac:dyDescent="0.3">
      <c r="A1" s="101" t="s">
        <v>1341</v>
      </c>
    </row>
    <row r="2" spans="1:1" s="97" customFormat="1" x14ac:dyDescent="0.3">
      <c r="A2" s="112" t="s">
        <v>886</v>
      </c>
    </row>
    <row r="3" spans="1:1" ht="21" x14ac:dyDescent="0.3">
      <c r="A3" s="102" t="s">
        <v>748</v>
      </c>
    </row>
    <row r="4" spans="1:1" x14ac:dyDescent="0.3">
      <c r="A4" s="14"/>
    </row>
    <row r="5" spans="1:1" ht="15.6" x14ac:dyDescent="0.3">
      <c r="A5" s="103" t="s">
        <v>749</v>
      </c>
    </row>
    <row r="6" spans="1:1" x14ac:dyDescent="0.3">
      <c r="A6" s="14"/>
    </row>
    <row r="7" spans="1:1" ht="46.8" x14ac:dyDescent="0.3">
      <c r="A7" s="103" t="s">
        <v>750</v>
      </c>
    </row>
    <row r="8" spans="1:1" x14ac:dyDescent="0.3">
      <c r="A8" s="14"/>
    </row>
    <row r="9" spans="1:1" ht="46.8" x14ac:dyDescent="0.3">
      <c r="A9" s="103" t="s">
        <v>751</v>
      </c>
    </row>
    <row r="10" spans="1:1" x14ac:dyDescent="0.3">
      <c r="A10" s="14"/>
    </row>
    <row r="11" spans="1:1" ht="31.2" x14ac:dyDescent="0.3">
      <c r="A11" s="103" t="s">
        <v>752</v>
      </c>
    </row>
    <row r="12" spans="1:1" x14ac:dyDescent="0.3">
      <c r="A12" s="14"/>
    </row>
    <row r="13" spans="1:1" ht="31.2" x14ac:dyDescent="0.3">
      <c r="A13" s="103" t="s">
        <v>753</v>
      </c>
    </row>
    <row r="14" spans="1:1" x14ac:dyDescent="0.3">
      <c r="A14" s="14"/>
    </row>
    <row r="15" spans="1:1" ht="31.2" x14ac:dyDescent="0.3">
      <c r="A15" s="103" t="s">
        <v>754</v>
      </c>
    </row>
    <row r="16" spans="1:1" x14ac:dyDescent="0.3">
      <c r="A16" s="14"/>
    </row>
    <row r="17" spans="1:1" ht="31.2" x14ac:dyDescent="0.3">
      <c r="A17" s="103" t="s">
        <v>755</v>
      </c>
    </row>
    <row r="18" spans="1:1" x14ac:dyDescent="0.3">
      <c r="A18" s="14"/>
    </row>
    <row r="19" spans="1:1" ht="62.4" x14ac:dyDescent="0.3">
      <c r="A19" s="103" t="s">
        <v>756</v>
      </c>
    </row>
    <row r="20" spans="1:1" x14ac:dyDescent="0.3">
      <c r="A20" s="14"/>
    </row>
    <row r="21" spans="1:1" ht="46.8" x14ac:dyDescent="0.3">
      <c r="A21" s="103" t="s">
        <v>757</v>
      </c>
    </row>
    <row r="22" spans="1:1" x14ac:dyDescent="0.3">
      <c r="A22" s="14"/>
    </row>
    <row r="23" spans="1:1" ht="15.6" x14ac:dyDescent="0.3">
      <c r="A23" s="103" t="s">
        <v>758</v>
      </c>
    </row>
    <row r="24" spans="1:1" x14ac:dyDescent="0.3">
      <c r="A24" s="14"/>
    </row>
    <row r="25" spans="1:1" ht="21" x14ac:dyDescent="0.3">
      <c r="A25" s="102" t="s">
        <v>759</v>
      </c>
    </row>
    <row r="26" spans="1:1" x14ac:dyDescent="0.3">
      <c r="A26" s="14"/>
    </row>
    <row r="27" spans="1:1" ht="17.399999999999999" x14ac:dyDescent="0.3">
      <c r="A27" s="104" t="s">
        <v>760</v>
      </c>
    </row>
    <row r="28" spans="1:1" x14ac:dyDescent="0.3">
      <c r="A28" s="14"/>
    </row>
    <row r="29" spans="1:1" ht="15.6" x14ac:dyDescent="0.3">
      <c r="A29" s="103" t="s">
        <v>761</v>
      </c>
    </row>
    <row r="30" spans="1:1" x14ac:dyDescent="0.3">
      <c r="A30" s="14"/>
    </row>
    <row r="31" spans="1:1" ht="15.6" x14ac:dyDescent="0.3">
      <c r="A31" s="103" t="s">
        <v>762</v>
      </c>
    </row>
    <row r="32" spans="1:1" x14ac:dyDescent="0.3">
      <c r="A32" s="14"/>
    </row>
    <row r="33" spans="1:1" ht="15.6" x14ac:dyDescent="0.3">
      <c r="A33" s="103" t="s">
        <v>763</v>
      </c>
    </row>
    <row r="34" spans="1:1" x14ac:dyDescent="0.3">
      <c r="A34" s="14"/>
    </row>
    <row r="35" spans="1:1" ht="31.2" x14ac:dyDescent="0.3">
      <c r="A35" s="103" t="s">
        <v>764</v>
      </c>
    </row>
    <row r="36" spans="1:1" x14ac:dyDescent="0.3">
      <c r="A36" s="14"/>
    </row>
    <row r="37" spans="1:1" ht="15.6" x14ac:dyDescent="0.3">
      <c r="A37" s="103" t="s">
        <v>765</v>
      </c>
    </row>
    <row r="38" spans="1:1" x14ac:dyDescent="0.3">
      <c r="A38" s="14"/>
    </row>
    <row r="39" spans="1:1" ht="46.8" x14ac:dyDescent="0.3">
      <c r="A39" s="103" t="s">
        <v>766</v>
      </c>
    </row>
    <row r="40" spans="1:1" x14ac:dyDescent="0.3">
      <c r="A40" s="14"/>
    </row>
    <row r="41" spans="1:1" ht="31.2" x14ac:dyDescent="0.3">
      <c r="A41" s="103" t="s">
        <v>767</v>
      </c>
    </row>
    <row r="42" spans="1:1" x14ac:dyDescent="0.3">
      <c r="A42" s="14"/>
    </row>
    <row r="43" spans="1:1" ht="46.8" x14ac:dyDescent="0.3">
      <c r="A43" s="103" t="s">
        <v>768</v>
      </c>
    </row>
    <row r="44" spans="1:1" x14ac:dyDescent="0.3">
      <c r="A44" s="14"/>
    </row>
    <row r="45" spans="1:1" ht="17.399999999999999" x14ac:dyDescent="0.3">
      <c r="A45" s="104" t="s">
        <v>769</v>
      </c>
    </row>
    <row r="46" spans="1:1" x14ac:dyDescent="0.3">
      <c r="A46" s="14"/>
    </row>
    <row r="47" spans="1:1" ht="15.6" x14ac:dyDescent="0.3">
      <c r="A47" s="103" t="s">
        <v>770</v>
      </c>
    </row>
    <row r="48" spans="1:1" x14ac:dyDescent="0.3">
      <c r="A48" s="14"/>
    </row>
    <row r="49" spans="1:1" ht="31.2" x14ac:dyDescent="0.3">
      <c r="A49" s="103" t="s">
        <v>771</v>
      </c>
    </row>
    <row r="50" spans="1:1" x14ac:dyDescent="0.3">
      <c r="A50" s="14"/>
    </row>
    <row r="51" spans="1:1" ht="62.4" x14ac:dyDescent="0.3">
      <c r="A51" s="103" t="s">
        <v>772</v>
      </c>
    </row>
    <row r="52" spans="1:1" x14ac:dyDescent="0.3">
      <c r="A52" s="14"/>
    </row>
    <row r="53" spans="1:1" ht="78" x14ac:dyDescent="0.3">
      <c r="A53" s="103" t="s">
        <v>773</v>
      </c>
    </row>
    <row r="54" spans="1:1" x14ac:dyDescent="0.3">
      <c r="A54" s="14"/>
    </row>
    <row r="55" spans="1:1" ht="15.6" x14ac:dyDescent="0.3">
      <c r="A55" s="103" t="s">
        <v>774</v>
      </c>
    </row>
    <row r="56" spans="1:1" x14ac:dyDescent="0.3">
      <c r="A56" s="14"/>
    </row>
    <row r="57" spans="1:1" ht="15.6" x14ac:dyDescent="0.3">
      <c r="A57" s="103" t="s">
        <v>775</v>
      </c>
    </row>
    <row r="58" spans="1:1" x14ac:dyDescent="0.3">
      <c r="A58" s="14"/>
    </row>
    <row r="59" spans="1:1" ht="17.399999999999999" x14ac:dyDescent="0.3">
      <c r="A59" s="104" t="s">
        <v>776</v>
      </c>
    </row>
    <row r="60" spans="1:1" x14ac:dyDescent="0.3">
      <c r="A60" s="14"/>
    </row>
    <row r="61" spans="1:1" ht="46.8" x14ac:dyDescent="0.3">
      <c r="A61" s="103" t="s">
        <v>777</v>
      </c>
    </row>
    <row r="62" spans="1:1" x14ac:dyDescent="0.3">
      <c r="A62" s="14"/>
    </row>
    <row r="63" spans="1:1" ht="62.4" x14ac:dyDescent="0.3">
      <c r="A63" s="103" t="s">
        <v>778</v>
      </c>
    </row>
    <row r="64" spans="1:1" x14ac:dyDescent="0.3">
      <c r="A64" s="14"/>
    </row>
    <row r="65" spans="1:1" ht="15.6" x14ac:dyDescent="0.3">
      <c r="A65" s="103" t="s">
        <v>779</v>
      </c>
    </row>
    <row r="66" spans="1:1" x14ac:dyDescent="0.3">
      <c r="A66" s="14"/>
    </row>
    <row r="67" spans="1:1" ht="17.399999999999999" x14ac:dyDescent="0.3">
      <c r="A67" s="104" t="s">
        <v>780</v>
      </c>
    </row>
    <row r="68" spans="1:1" x14ac:dyDescent="0.3">
      <c r="A68" s="14"/>
    </row>
    <row r="69" spans="1:1" ht="31.2" x14ac:dyDescent="0.3">
      <c r="A69" s="103" t="s">
        <v>781</v>
      </c>
    </row>
    <row r="70" spans="1:1" x14ac:dyDescent="0.3">
      <c r="A70" s="14"/>
    </row>
    <row r="71" spans="1:1" ht="46.8" x14ac:dyDescent="0.3">
      <c r="A71" s="103" t="s">
        <v>782</v>
      </c>
    </row>
    <row r="72" spans="1:1" x14ac:dyDescent="0.3">
      <c r="A72" s="14"/>
    </row>
    <row r="73" spans="1:1" ht="17.399999999999999" x14ac:dyDescent="0.3">
      <c r="A73" s="104" t="s">
        <v>783</v>
      </c>
    </row>
    <row r="74" spans="1:1" x14ac:dyDescent="0.3">
      <c r="A74" s="14"/>
    </row>
    <row r="75" spans="1:1" ht="46.8" x14ac:dyDescent="0.3">
      <c r="A75" s="103" t="s">
        <v>784</v>
      </c>
    </row>
    <row r="76" spans="1:1" x14ac:dyDescent="0.3">
      <c r="A76" s="14"/>
    </row>
    <row r="77" spans="1:1" ht="15.6" x14ac:dyDescent="0.3">
      <c r="A77" s="103" t="s">
        <v>785</v>
      </c>
    </row>
    <row r="78" spans="1:1" x14ac:dyDescent="0.3">
      <c r="A78" s="14"/>
    </row>
    <row r="79" spans="1:1" ht="17.399999999999999" x14ac:dyDescent="0.3">
      <c r="A79" s="104" t="s">
        <v>786</v>
      </c>
    </row>
    <row r="80" spans="1:1" x14ac:dyDescent="0.3">
      <c r="A80" s="14"/>
    </row>
    <row r="81" spans="1:1" ht="31.2" x14ac:dyDescent="0.3">
      <c r="A81" s="103" t="s">
        <v>787</v>
      </c>
    </row>
    <row r="82" spans="1:1" x14ac:dyDescent="0.3">
      <c r="A82" s="105"/>
    </row>
    <row r="83" spans="1:1" ht="15.6" x14ac:dyDescent="0.3">
      <c r="A83" s="106" t="s">
        <v>788</v>
      </c>
    </row>
    <row r="84" spans="1:1" ht="31.2" x14ac:dyDescent="0.3">
      <c r="A84" s="106" t="s">
        <v>789</v>
      </c>
    </row>
    <row r="85" spans="1:1" ht="46.8" x14ac:dyDescent="0.3">
      <c r="A85" s="106" t="s">
        <v>790</v>
      </c>
    </row>
    <row r="86" spans="1:1" ht="31.2" x14ac:dyDescent="0.3">
      <c r="A86" s="106" t="s">
        <v>791</v>
      </c>
    </row>
    <row r="87" spans="1:1" x14ac:dyDescent="0.3">
      <c r="A87" s="14"/>
    </row>
    <row r="88" spans="1:1" ht="62.4" x14ac:dyDescent="0.3">
      <c r="A88" s="103" t="s">
        <v>792</v>
      </c>
    </row>
    <row r="89" spans="1:1" x14ac:dyDescent="0.3">
      <c r="A89" s="14"/>
    </row>
    <row r="90" spans="1:1" ht="17.399999999999999" x14ac:dyDescent="0.3">
      <c r="A90" s="104" t="s">
        <v>793</v>
      </c>
    </row>
    <row r="91" spans="1:1" x14ac:dyDescent="0.3">
      <c r="A91" s="14"/>
    </row>
    <row r="92" spans="1:1" ht="31.2" x14ac:dyDescent="0.3">
      <c r="A92" s="103" t="s">
        <v>794</v>
      </c>
    </row>
    <row r="93" spans="1:1" x14ac:dyDescent="0.3">
      <c r="A93" s="105"/>
    </row>
    <row r="94" spans="1:1" ht="31.2" x14ac:dyDescent="0.3">
      <c r="A94" s="106" t="s">
        <v>795</v>
      </c>
    </row>
    <row r="95" spans="1:1" ht="62.4" x14ac:dyDescent="0.3">
      <c r="A95" s="106" t="s">
        <v>796</v>
      </c>
    </row>
    <row r="96" spans="1:1" ht="31.2" x14ac:dyDescent="0.3">
      <c r="A96" s="106" t="s">
        <v>797</v>
      </c>
    </row>
    <row r="97" spans="1:1" ht="78" x14ac:dyDescent="0.3">
      <c r="A97" s="106" t="s">
        <v>798</v>
      </c>
    </row>
    <row r="98" spans="1:1" ht="31.2" x14ac:dyDescent="0.3">
      <c r="A98" s="106" t="s">
        <v>799</v>
      </c>
    </row>
    <row r="99" spans="1:1" x14ac:dyDescent="0.3">
      <c r="A99" s="14"/>
    </row>
    <row r="100" spans="1:1" ht="15.6" x14ac:dyDescent="0.3">
      <c r="A100" s="103" t="s">
        <v>800</v>
      </c>
    </row>
    <row r="101" spans="1:1" x14ac:dyDescent="0.3">
      <c r="A101" s="14"/>
    </row>
    <row r="102" spans="1:1" ht="78" x14ac:dyDescent="0.3">
      <c r="A102" s="103" t="s">
        <v>801</v>
      </c>
    </row>
    <row r="103" spans="1:1" x14ac:dyDescent="0.3">
      <c r="A103" s="14"/>
    </row>
    <row r="104" spans="1:1" ht="46.8" x14ac:dyDescent="0.3">
      <c r="A104" s="103" t="s">
        <v>802</v>
      </c>
    </row>
    <row r="105" spans="1:1" x14ac:dyDescent="0.3">
      <c r="A105" s="14"/>
    </row>
    <row r="106" spans="1:1" ht="62.4" x14ac:dyDescent="0.3">
      <c r="A106" s="103" t="s">
        <v>803</v>
      </c>
    </row>
    <row r="107" spans="1:1" x14ac:dyDescent="0.3">
      <c r="A107" s="14"/>
    </row>
    <row r="108" spans="1:1" ht="46.8" x14ac:dyDescent="0.3">
      <c r="A108" s="103" t="s">
        <v>804</v>
      </c>
    </row>
    <row r="109" spans="1:1" x14ac:dyDescent="0.3">
      <c r="A109" s="14"/>
    </row>
    <row r="110" spans="1:1" ht="31.2" x14ac:dyDescent="0.3">
      <c r="A110" s="103" t="s">
        <v>805</v>
      </c>
    </row>
    <row r="111" spans="1:1" x14ac:dyDescent="0.3">
      <c r="A111" s="14"/>
    </row>
    <row r="112" spans="1:1" ht="17.399999999999999" x14ac:dyDescent="0.3">
      <c r="A112" s="104" t="s">
        <v>806</v>
      </c>
    </row>
    <row r="113" spans="1:1" x14ac:dyDescent="0.3">
      <c r="A113" s="14"/>
    </row>
    <row r="114" spans="1:1" ht="46.8" x14ac:dyDescent="0.3">
      <c r="A114" s="103" t="s">
        <v>807</v>
      </c>
    </row>
    <row r="115" spans="1:1" x14ac:dyDescent="0.3">
      <c r="A115" s="14"/>
    </row>
    <row r="116" spans="1:1" ht="46.8" x14ac:dyDescent="0.3">
      <c r="A116" s="103" t="s">
        <v>808</v>
      </c>
    </row>
    <row r="117" spans="1:1" x14ac:dyDescent="0.3">
      <c r="A117" s="14"/>
    </row>
    <row r="118" spans="1:1" ht="31.2" x14ac:dyDescent="0.3">
      <c r="A118" s="103" t="s">
        <v>809</v>
      </c>
    </row>
    <row r="119" spans="1:1" x14ac:dyDescent="0.3">
      <c r="A119" s="105"/>
    </row>
    <row r="120" spans="1:1" ht="15.6" x14ac:dyDescent="0.3">
      <c r="A120" s="106" t="s">
        <v>810</v>
      </c>
    </row>
    <row r="121" spans="1:1" ht="15.6" x14ac:dyDescent="0.3">
      <c r="A121" s="106" t="s">
        <v>811</v>
      </c>
    </row>
    <row r="122" spans="1:1" ht="31.2" x14ac:dyDescent="0.3">
      <c r="A122" s="106" t="s">
        <v>812</v>
      </c>
    </row>
    <row r="123" spans="1:1" ht="15.6" x14ac:dyDescent="0.3">
      <c r="A123" s="106" t="s">
        <v>813</v>
      </c>
    </row>
    <row r="124" spans="1:1" ht="15.6" x14ac:dyDescent="0.3">
      <c r="A124" s="106" t="s">
        <v>814</v>
      </c>
    </row>
    <row r="125" spans="1:1" ht="31.2" x14ac:dyDescent="0.3">
      <c r="A125" s="106" t="s">
        <v>815</v>
      </c>
    </row>
    <row r="126" spans="1:1" x14ac:dyDescent="0.3">
      <c r="A126" s="14"/>
    </row>
    <row r="127" spans="1:1" ht="62.4" x14ac:dyDescent="0.3">
      <c r="A127" s="103" t="s">
        <v>816</v>
      </c>
    </row>
    <row r="128" spans="1:1" x14ac:dyDescent="0.3">
      <c r="A128" s="14"/>
    </row>
    <row r="129" spans="1:1" ht="31.2" x14ac:dyDescent="0.3">
      <c r="A129" s="103" t="s">
        <v>817</v>
      </c>
    </row>
    <row r="130" spans="1:1" x14ac:dyDescent="0.3">
      <c r="A130" s="14"/>
    </row>
    <row r="131" spans="1:1" ht="15.6" x14ac:dyDescent="0.3">
      <c r="A131" s="103" t="s">
        <v>818</v>
      </c>
    </row>
    <row r="132" spans="1:1" x14ac:dyDescent="0.3">
      <c r="A132" s="14"/>
    </row>
    <row r="133" spans="1:1" ht="17.399999999999999" x14ac:dyDescent="0.3">
      <c r="A133" s="104" t="s">
        <v>819</v>
      </c>
    </row>
    <row r="134" spans="1:1" x14ac:dyDescent="0.3">
      <c r="A134" s="14"/>
    </row>
    <row r="135" spans="1:1" ht="31.2" x14ac:dyDescent="0.3">
      <c r="A135" s="103" t="s">
        <v>820</v>
      </c>
    </row>
    <row r="136" spans="1:1" x14ac:dyDescent="0.3">
      <c r="A136" s="14"/>
    </row>
    <row r="137" spans="1:1" ht="31.2" x14ac:dyDescent="0.3">
      <c r="A137" s="103" t="s">
        <v>821</v>
      </c>
    </row>
    <row r="138" spans="1:1" x14ac:dyDescent="0.3">
      <c r="A138" s="14"/>
    </row>
    <row r="139" spans="1:1" ht="31.2" x14ac:dyDescent="0.3">
      <c r="A139" s="103" t="s">
        <v>822</v>
      </c>
    </row>
    <row r="140" spans="1:1" x14ac:dyDescent="0.3">
      <c r="A140" s="14"/>
    </row>
    <row r="141" spans="1:1" ht="31.2" x14ac:dyDescent="0.3">
      <c r="A141" s="103" t="s">
        <v>823</v>
      </c>
    </row>
    <row r="142" spans="1:1" x14ac:dyDescent="0.3">
      <c r="A142" s="14"/>
    </row>
    <row r="143" spans="1:1" ht="17.399999999999999" x14ac:dyDescent="0.3">
      <c r="A143" s="104" t="s">
        <v>824</v>
      </c>
    </row>
    <row r="144" spans="1:1" x14ac:dyDescent="0.3">
      <c r="A144" s="14"/>
    </row>
    <row r="145" spans="1:1" ht="46.8" x14ac:dyDescent="0.3">
      <c r="A145" s="103" t="s">
        <v>825</v>
      </c>
    </row>
    <row r="146" spans="1:1" x14ac:dyDescent="0.3">
      <c r="A146" s="14"/>
    </row>
    <row r="147" spans="1:1" ht="17.399999999999999" x14ac:dyDescent="0.3">
      <c r="A147" s="104" t="s">
        <v>826</v>
      </c>
    </row>
    <row r="148" spans="1:1" x14ac:dyDescent="0.3">
      <c r="A148" s="14"/>
    </row>
    <row r="149" spans="1:1" ht="31.2" x14ac:dyDescent="0.3">
      <c r="A149" s="103" t="s">
        <v>827</v>
      </c>
    </row>
    <row r="150" spans="1:1" x14ac:dyDescent="0.3">
      <c r="A150" s="14"/>
    </row>
    <row r="151" spans="1:1" ht="62.4" x14ac:dyDescent="0.3">
      <c r="A151" s="103" t="s">
        <v>828</v>
      </c>
    </row>
    <row r="152" spans="1:1" x14ac:dyDescent="0.3">
      <c r="A152" s="14"/>
    </row>
    <row r="153" spans="1:1" ht="46.8" x14ac:dyDescent="0.3">
      <c r="A153" s="103" t="s">
        <v>829</v>
      </c>
    </row>
    <row r="154" spans="1:1" x14ac:dyDescent="0.3">
      <c r="A154" s="14"/>
    </row>
    <row r="155" spans="1:1" ht="17.399999999999999" x14ac:dyDescent="0.3">
      <c r="A155" s="104" t="s">
        <v>830</v>
      </c>
    </row>
    <row r="156" spans="1:1" x14ac:dyDescent="0.3">
      <c r="A156" s="14"/>
    </row>
    <row r="157" spans="1:1" ht="31.2" x14ac:dyDescent="0.3">
      <c r="A157" s="103" t="s">
        <v>831</v>
      </c>
    </row>
    <row r="158" spans="1:1" x14ac:dyDescent="0.3">
      <c r="A158" s="14"/>
    </row>
    <row r="159" spans="1:1" ht="46.8" x14ac:dyDescent="0.3">
      <c r="A159" s="103" t="s">
        <v>832</v>
      </c>
    </row>
    <row r="160" spans="1:1" x14ac:dyDescent="0.3">
      <c r="A160" s="14"/>
    </row>
    <row r="161" spans="1:1" ht="31.2" x14ac:dyDescent="0.3">
      <c r="A161" s="103" t="s">
        <v>833</v>
      </c>
    </row>
    <row r="162" spans="1:1" x14ac:dyDescent="0.3">
      <c r="A162" s="14"/>
    </row>
    <row r="163" spans="1:1" ht="46.8" x14ac:dyDescent="0.3">
      <c r="A163" s="103" t="s">
        <v>834</v>
      </c>
    </row>
    <row r="164" spans="1:1" x14ac:dyDescent="0.3">
      <c r="A164" s="14"/>
    </row>
    <row r="165" spans="1:1" ht="78" x14ac:dyDescent="0.3">
      <c r="A165" s="103" t="s">
        <v>835</v>
      </c>
    </row>
    <row r="166" spans="1:1" x14ac:dyDescent="0.3">
      <c r="A166" s="14"/>
    </row>
    <row r="167" spans="1:1" ht="46.8" x14ac:dyDescent="0.3">
      <c r="A167" s="103" t="s">
        <v>836</v>
      </c>
    </row>
    <row r="168" spans="1:1" x14ac:dyDescent="0.3">
      <c r="A168" s="14"/>
    </row>
    <row r="169" spans="1:1" ht="93.6" x14ac:dyDescent="0.3">
      <c r="A169" s="103" t="s">
        <v>837</v>
      </c>
    </row>
    <row r="170" spans="1:1" x14ac:dyDescent="0.3">
      <c r="A170" s="14"/>
    </row>
    <row r="171" spans="1:1" ht="31.2" x14ac:dyDescent="0.3">
      <c r="A171" s="103" t="s">
        <v>838</v>
      </c>
    </row>
    <row r="172" spans="1:1" x14ac:dyDescent="0.3">
      <c r="A172" s="14"/>
    </row>
    <row r="173" spans="1:1" ht="17.399999999999999" x14ac:dyDescent="0.3">
      <c r="A173" s="104" t="s">
        <v>839</v>
      </c>
    </row>
    <row r="174" spans="1:1" x14ac:dyDescent="0.3">
      <c r="A174" s="14"/>
    </row>
    <row r="175" spans="1:1" ht="62.4" x14ac:dyDescent="0.3">
      <c r="A175" s="103" t="s">
        <v>840</v>
      </c>
    </row>
    <row r="176" spans="1:1" x14ac:dyDescent="0.3">
      <c r="A176" s="14"/>
    </row>
    <row r="177" spans="1:1" ht="17.399999999999999" x14ac:dyDescent="0.3">
      <c r="A177" s="104" t="s">
        <v>841</v>
      </c>
    </row>
    <row r="178" spans="1:1" x14ac:dyDescent="0.3">
      <c r="A178" s="14"/>
    </row>
    <row r="179" spans="1:1" ht="46.8" x14ac:dyDescent="0.3">
      <c r="A179" s="103" t="s">
        <v>842</v>
      </c>
    </row>
    <row r="180" spans="1:1" x14ac:dyDescent="0.3">
      <c r="A180" s="14"/>
    </row>
    <row r="181" spans="1:1" ht="17.399999999999999" x14ac:dyDescent="0.3">
      <c r="A181" s="104" t="s">
        <v>843</v>
      </c>
    </row>
    <row r="182" spans="1:1" x14ac:dyDescent="0.3">
      <c r="A182" s="14"/>
    </row>
    <row r="183" spans="1:1" ht="31.2" x14ac:dyDescent="0.3">
      <c r="A183" s="103" t="s">
        <v>844</v>
      </c>
    </row>
    <row r="184" spans="1:1" x14ac:dyDescent="0.3">
      <c r="A184" s="14"/>
    </row>
    <row r="185" spans="1:1" ht="46.8" x14ac:dyDescent="0.3">
      <c r="A185" s="103" t="s">
        <v>845</v>
      </c>
    </row>
    <row r="186" spans="1:1" x14ac:dyDescent="0.3">
      <c r="A186" s="14"/>
    </row>
    <row r="187" spans="1:1" ht="31.2" x14ac:dyDescent="0.3">
      <c r="A187" s="103" t="s">
        <v>846</v>
      </c>
    </row>
    <row r="188" spans="1:1" x14ac:dyDescent="0.3">
      <c r="A188" s="14"/>
    </row>
    <row r="189" spans="1:1" ht="31.2" x14ac:dyDescent="0.3">
      <c r="A189" s="103" t="s">
        <v>847</v>
      </c>
    </row>
    <row r="190" spans="1:1" x14ac:dyDescent="0.3">
      <c r="A190" s="14"/>
    </row>
    <row r="191" spans="1:1" ht="17.399999999999999" x14ac:dyDescent="0.3">
      <c r="A191" s="104" t="s">
        <v>848</v>
      </c>
    </row>
    <row r="192" spans="1:1" x14ac:dyDescent="0.3">
      <c r="A192" s="14"/>
    </row>
    <row r="193" spans="1:1" ht="78" x14ac:dyDescent="0.3">
      <c r="A193" s="103" t="s">
        <v>849</v>
      </c>
    </row>
    <row r="194" spans="1:1" x14ac:dyDescent="0.3">
      <c r="A194" s="14"/>
    </row>
    <row r="195" spans="1:1" ht="17.399999999999999" x14ac:dyDescent="0.3">
      <c r="A195" s="104" t="s">
        <v>850</v>
      </c>
    </row>
    <row r="196" spans="1:1" x14ac:dyDescent="0.3">
      <c r="A196" s="14"/>
    </row>
    <row r="197" spans="1:1" ht="78" x14ac:dyDescent="0.3">
      <c r="A197" s="103" t="s">
        <v>851</v>
      </c>
    </row>
    <row r="198" spans="1:1" x14ac:dyDescent="0.3">
      <c r="A198" s="14"/>
    </row>
    <row r="199" spans="1:1" ht="17.399999999999999" x14ac:dyDescent="0.3">
      <c r="A199" s="104" t="s">
        <v>852</v>
      </c>
    </row>
    <row r="200" spans="1:1" x14ac:dyDescent="0.3">
      <c r="A200" s="14"/>
    </row>
    <row r="201" spans="1:1" ht="46.8" x14ac:dyDescent="0.3">
      <c r="A201" s="103" t="s">
        <v>853</v>
      </c>
    </row>
    <row r="202" spans="1:1" x14ac:dyDescent="0.3">
      <c r="A202" s="14"/>
    </row>
    <row r="203" spans="1:1" ht="15.6" x14ac:dyDescent="0.3">
      <c r="A203" s="103" t="s">
        <v>854</v>
      </c>
    </row>
    <row r="204" spans="1:1" x14ac:dyDescent="0.3">
      <c r="A204" s="14"/>
    </row>
    <row r="205" spans="1:1" ht="21" x14ac:dyDescent="0.3">
      <c r="A205" s="102" t="s">
        <v>855</v>
      </c>
    </row>
    <row r="206" spans="1:1" x14ac:dyDescent="0.3">
      <c r="A206" s="14"/>
    </row>
    <row r="207" spans="1:1" ht="31.2" x14ac:dyDescent="0.3">
      <c r="A207" s="103" t="s">
        <v>856</v>
      </c>
    </row>
    <row r="208" spans="1:1" x14ac:dyDescent="0.3">
      <c r="A208" s="14"/>
    </row>
    <row r="209" spans="1:1" ht="31.2" x14ac:dyDescent="0.3">
      <c r="A209" s="103" t="s">
        <v>857</v>
      </c>
    </row>
    <row r="210" spans="1:1" x14ac:dyDescent="0.3">
      <c r="A210" s="14"/>
    </row>
    <row r="211" spans="1:1" ht="15" x14ac:dyDescent="0.3">
      <c r="A211" s="107" t="s">
        <v>858</v>
      </c>
    </row>
    <row r="212" spans="1:1" ht="15" x14ac:dyDescent="0.3">
      <c r="A212" s="107" t="s">
        <v>859</v>
      </c>
    </row>
    <row r="213" spans="1:1" x14ac:dyDescent="0.3">
      <c r="A213" s="108"/>
    </row>
    <row r="214" spans="1:1" ht="15" x14ac:dyDescent="0.3">
      <c r="A214" s="107" t="s">
        <v>860</v>
      </c>
    </row>
    <row r="215" spans="1:1" ht="15" x14ac:dyDescent="0.3">
      <c r="A215" s="107" t="s">
        <v>861</v>
      </c>
    </row>
    <row r="216" spans="1:1" ht="15" x14ac:dyDescent="0.3">
      <c r="A216" s="107" t="s">
        <v>862</v>
      </c>
    </row>
    <row r="217" spans="1:1" ht="15" x14ac:dyDescent="0.3">
      <c r="A217" s="107" t="s">
        <v>863</v>
      </c>
    </row>
    <row r="218" spans="1:1" x14ac:dyDescent="0.3">
      <c r="A218" s="108"/>
    </row>
    <row r="219" spans="1:1" ht="15" x14ac:dyDescent="0.3">
      <c r="A219" s="107" t="s">
        <v>864</v>
      </c>
    </row>
    <row r="220" spans="1:1" ht="15" x14ac:dyDescent="0.3">
      <c r="A220" s="107" t="s">
        <v>865</v>
      </c>
    </row>
    <row r="221" spans="1:1" ht="15" x14ac:dyDescent="0.3">
      <c r="A221" s="107" t="s">
        <v>866</v>
      </c>
    </row>
    <row r="222" spans="1:1" ht="15" x14ac:dyDescent="0.3">
      <c r="A222" s="107" t="s">
        <v>867</v>
      </c>
    </row>
    <row r="223" spans="1:1" x14ac:dyDescent="0.3">
      <c r="A223" s="108"/>
    </row>
    <row r="224" spans="1:1" ht="15" x14ac:dyDescent="0.3">
      <c r="A224" s="107" t="s">
        <v>868</v>
      </c>
    </row>
    <row r="225" spans="1:1" ht="15" x14ac:dyDescent="0.3">
      <c r="A225" s="107" t="s">
        <v>869</v>
      </c>
    </row>
    <row r="226" spans="1:1" x14ac:dyDescent="0.3">
      <c r="A226" s="14"/>
    </row>
    <row r="227" spans="1:1" ht="15.6" x14ac:dyDescent="0.3">
      <c r="A227" s="103" t="s">
        <v>870</v>
      </c>
    </row>
    <row r="228" spans="1:1" x14ac:dyDescent="0.3">
      <c r="A228" s="14"/>
    </row>
    <row r="229" spans="1:1" ht="15.6" x14ac:dyDescent="0.3">
      <c r="A229" s="103" t="s">
        <v>871</v>
      </c>
    </row>
    <row r="230" spans="1:1" x14ac:dyDescent="0.3">
      <c r="A230" s="14"/>
    </row>
    <row r="231" spans="1:1" ht="15" x14ac:dyDescent="0.3">
      <c r="A231" s="107" t="s">
        <v>872</v>
      </c>
    </row>
    <row r="232" spans="1:1" ht="15" x14ac:dyDescent="0.3">
      <c r="A232" s="107" t="s">
        <v>873</v>
      </c>
    </row>
    <row r="233" spans="1:1" ht="15" x14ac:dyDescent="0.3">
      <c r="A233" s="107" t="s">
        <v>874</v>
      </c>
    </row>
    <row r="234" spans="1:1" ht="15" x14ac:dyDescent="0.3">
      <c r="A234" s="107" t="s">
        <v>875</v>
      </c>
    </row>
    <row r="235" spans="1:1" x14ac:dyDescent="0.3">
      <c r="A235" s="14"/>
    </row>
    <row r="236" spans="1:1" ht="31.2" x14ac:dyDescent="0.3">
      <c r="A236" s="103" t="s">
        <v>876</v>
      </c>
    </row>
    <row r="237" spans="1:1" x14ac:dyDescent="0.3">
      <c r="A237" s="14"/>
    </row>
    <row r="238" spans="1:1" ht="28.8" x14ac:dyDescent="0.3">
      <c r="A238" s="109" t="s">
        <v>877</v>
      </c>
    </row>
    <row r="239" spans="1:1" x14ac:dyDescent="0.3">
      <c r="A239" s="14"/>
    </row>
    <row r="240" spans="1:1" ht="43.2" x14ac:dyDescent="0.3">
      <c r="A240" s="109" t="s">
        <v>878</v>
      </c>
    </row>
  </sheetData>
  <hyperlinks>
    <hyperlink ref="A238" r:id="rId1" display="https://www.gnu.org/licenses/" xr:uid="{987C2FF1-0D54-470F-9B54-D1D42DED991C}"/>
    <hyperlink ref="A240" r:id="rId2" display="https://www.gnu.org/licenses/why-not-lgpl.html" xr:uid="{612C3869-F7B0-4DAB-A25A-A88D33297A1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E122F-88D5-4E2C-AFED-D7365098F030}">
  <sheetPr codeName="Sheet12">
    <pageSetUpPr fitToPage="1"/>
  </sheetPr>
  <dimension ref="A1:AP1009"/>
  <sheetViews>
    <sheetView zoomScale="96" zoomScaleNormal="80" workbookViewId="0">
      <pane ySplit="8" topLeftCell="A9" activePane="bottomLeft" state="frozen"/>
      <selection pane="bottomLeft" sqref="A1:F1"/>
    </sheetView>
  </sheetViews>
  <sheetFormatPr defaultColWidth="8.88671875" defaultRowHeight="13.8" x14ac:dyDescent="0.25"/>
  <cols>
    <col min="1" max="1" width="5.77734375" style="40" bestFit="1" customWidth="1"/>
    <col min="2" max="2" width="6.88671875" style="40" bestFit="1" customWidth="1"/>
    <col min="3" max="3" width="14" style="40" bestFit="1" customWidth="1"/>
    <col min="4" max="4" width="23.77734375" style="40" bestFit="1" customWidth="1"/>
    <col min="5" max="5" width="6" style="40" bestFit="1" customWidth="1"/>
    <col min="6" max="6" width="37.88671875" style="40" bestFit="1" customWidth="1"/>
    <col min="7" max="7" width="17.77734375" style="40" bestFit="1" customWidth="1"/>
    <col min="8" max="8" width="17.109375" style="40" bestFit="1" customWidth="1"/>
    <col min="9" max="9" width="14.88671875" style="40" bestFit="1" customWidth="1"/>
    <col min="10" max="10" width="25.109375" style="40" bestFit="1" customWidth="1"/>
    <col min="11" max="11" width="19.77734375" style="40" customWidth="1"/>
    <col min="12" max="22" width="8.88671875" style="40"/>
    <col min="23" max="23" width="8.88671875" style="40" customWidth="1"/>
    <col min="24" max="24" width="8.88671875" style="40"/>
    <col min="25" max="25" width="94.21875" style="40" customWidth="1"/>
    <col min="26" max="26" width="8.88671875" style="40"/>
    <col min="27" max="27" width="19.109375" style="40" bestFit="1" customWidth="1"/>
    <col min="28" max="16384" width="8.88671875" style="40"/>
  </cols>
  <sheetData>
    <row r="1" spans="1:42" ht="22.8" x14ac:dyDescent="0.4">
      <c r="A1" s="124" t="s">
        <v>729</v>
      </c>
      <c r="B1" s="124"/>
      <c r="C1" s="124"/>
      <c r="D1" s="124"/>
      <c r="E1" s="124"/>
      <c r="F1" s="124"/>
      <c r="G1" s="125" t="s">
        <v>601</v>
      </c>
      <c r="H1" s="126"/>
      <c r="I1" s="126"/>
      <c r="J1" s="126"/>
      <c r="AA1" s="40" t="s">
        <v>597</v>
      </c>
      <c r="AB1" s="40" t="s">
        <v>672</v>
      </c>
      <c r="AC1" s="40" t="s">
        <v>674</v>
      </c>
      <c r="AP1" s="40">
        <f>COUNT(A8:A1008)+8</f>
        <v>8</v>
      </c>
    </row>
    <row r="2" spans="1:42" x14ac:dyDescent="0.25">
      <c r="A2" s="127" t="str">
        <f>Main!A1</f>
        <v>Department of Civil Engineering (ver.28)</v>
      </c>
      <c r="B2" s="127"/>
      <c r="C2" s="127"/>
      <c r="D2" s="127"/>
      <c r="E2" s="127"/>
      <c r="F2" s="127"/>
      <c r="G2" s="44" t="s">
        <v>602</v>
      </c>
      <c r="H2" s="42">
        <f>COUNTIF($G$9:$G$1000,G2&amp;"*")</f>
        <v>0</v>
      </c>
      <c r="I2" s="44" t="s">
        <v>370</v>
      </c>
      <c r="J2" s="42">
        <f>COUNTIF($G$9:$G$1000,"*"&amp;I2)</f>
        <v>0</v>
      </c>
      <c r="AA2" s="40" t="s">
        <v>599</v>
      </c>
      <c r="AB2" s="40" t="s">
        <v>672</v>
      </c>
      <c r="AC2" s="40" t="s">
        <v>674</v>
      </c>
    </row>
    <row r="3" spans="1:42" x14ac:dyDescent="0.25">
      <c r="A3" s="127" t="str">
        <f>Main!A2</f>
        <v>University of Engineering and Technology, Peshawar, Pakistan</v>
      </c>
      <c r="B3" s="127"/>
      <c r="C3" s="127"/>
      <c r="D3" s="127"/>
      <c r="E3" s="127"/>
      <c r="F3" s="127"/>
      <c r="G3" s="44" t="s">
        <v>118</v>
      </c>
      <c r="H3" s="42">
        <f>COUNTIF($G$9:$G$1000,"*"&amp;G3)</f>
        <v>0</v>
      </c>
      <c r="I3" s="44" t="s">
        <v>371</v>
      </c>
      <c r="J3" s="42">
        <f>COUNTIF($G$9:$G$1000,"*"&amp;I3)</f>
        <v>0</v>
      </c>
      <c r="AA3" s="40" t="s">
        <v>598</v>
      </c>
      <c r="AB3" s="40" t="s">
        <v>672</v>
      </c>
      <c r="AC3" s="40" t="s">
        <v>674</v>
      </c>
    </row>
    <row r="4" spans="1:42" x14ac:dyDescent="0.25">
      <c r="A4" s="128" t="str">
        <f>Main!C4 &amp; " " &amp; Main!C5 &amp; ", " &amp; Main!C3</f>
        <v>CE-117 Engineering Mechanics, Batch Civil-2018</v>
      </c>
      <c r="B4" s="128"/>
      <c r="C4" s="128"/>
      <c r="D4" s="128"/>
      <c r="E4" s="128"/>
      <c r="F4" s="128"/>
      <c r="G4" s="44" t="s">
        <v>120</v>
      </c>
      <c r="H4" s="42">
        <f>COUNTIF($G$9:$G$1000,"*"&amp;G4)</f>
        <v>0</v>
      </c>
      <c r="I4" s="44" t="s">
        <v>685</v>
      </c>
      <c r="J4" s="42">
        <f>SUM(J2:J3,H2:H5)</f>
        <v>0</v>
      </c>
      <c r="AA4" s="40" t="s">
        <v>605</v>
      </c>
      <c r="AB4" s="40" t="s">
        <v>672</v>
      </c>
      <c r="AC4" s="40" t="s">
        <v>674</v>
      </c>
    </row>
    <row r="5" spans="1:42" ht="15.6" x14ac:dyDescent="0.3">
      <c r="A5" s="129" t="str">
        <f>Main!C6 &amp; " Semester, " &amp;Main!C7 &amp; "-"&amp; Main!C8 &amp; ", Sections: " &amp; Main!E9</f>
        <v>5th Semester, Fall-2019, Sections: U,T,M</v>
      </c>
      <c r="B5" s="129"/>
      <c r="C5" s="129"/>
      <c r="D5" s="129"/>
      <c r="E5" s="129"/>
      <c r="F5" s="129"/>
      <c r="G5" s="44" t="s">
        <v>121</v>
      </c>
      <c r="H5" s="42">
        <f>COUNTIF($G$9:$G$1000,"*"&amp;G5)</f>
        <v>0</v>
      </c>
      <c r="I5" s="43" t="s">
        <v>607</v>
      </c>
      <c r="J5" s="42">
        <f>MAX(A9:A1008)</f>
        <v>0</v>
      </c>
      <c r="AA5" s="40" t="s">
        <v>606</v>
      </c>
      <c r="AB5" s="40" t="s">
        <v>672</v>
      </c>
      <c r="AC5" s="40" t="s">
        <v>674</v>
      </c>
    </row>
    <row r="6" spans="1:42" x14ac:dyDescent="0.25">
      <c r="A6" s="64"/>
      <c r="B6" s="64"/>
      <c r="C6" s="64"/>
      <c r="D6" s="65" t="str">
        <f>Main!B9</f>
        <v>Teacher</v>
      </c>
      <c r="E6" s="122" t="str">
        <f>Main!C9</f>
        <v>Dr. Qazi Samiullah</v>
      </c>
      <c r="F6" s="122"/>
      <c r="H6" s="130"/>
      <c r="I6" s="130"/>
      <c r="AA6" s="40" t="s">
        <v>652</v>
      </c>
      <c r="AB6" s="40" t="s">
        <v>673</v>
      </c>
      <c r="AC6" s="40" t="s">
        <v>676</v>
      </c>
    </row>
    <row r="7" spans="1:42" ht="26.4" customHeight="1" x14ac:dyDescent="0.25">
      <c r="D7" s="66" t="str">
        <f>Main!D12&amp;":"</f>
        <v># of Registered Students:</v>
      </c>
      <c r="E7" s="123">
        <f ca="1">Main!E12</f>
        <v>0</v>
      </c>
      <c r="F7" s="123"/>
      <c r="H7" s="131"/>
      <c r="I7" s="131"/>
      <c r="AA7" s="40" t="s">
        <v>653</v>
      </c>
      <c r="AB7" s="40" t="s">
        <v>673</v>
      </c>
      <c r="AC7" s="40" t="s">
        <v>676</v>
      </c>
    </row>
    <row r="8" spans="1:42" x14ac:dyDescent="0.25">
      <c r="A8" s="45" t="s">
        <v>600</v>
      </c>
      <c r="B8" s="45" t="s">
        <v>368</v>
      </c>
      <c r="C8" s="45" t="s">
        <v>594</v>
      </c>
      <c r="D8" s="45" t="s">
        <v>188</v>
      </c>
      <c r="E8" s="45" t="s">
        <v>112</v>
      </c>
      <c r="F8" s="45" t="s">
        <v>604</v>
      </c>
      <c r="G8" s="45" t="s">
        <v>603</v>
      </c>
      <c r="H8" s="45" t="s">
        <v>686</v>
      </c>
      <c r="I8" s="45" t="s">
        <v>687</v>
      </c>
      <c r="J8" s="45" t="s">
        <v>595</v>
      </c>
      <c r="K8" s="47"/>
      <c r="L8" s="47" t="s">
        <v>608</v>
      </c>
      <c r="AA8" s="40" t="s">
        <v>654</v>
      </c>
      <c r="AB8" s="40" t="s">
        <v>673</v>
      </c>
      <c r="AC8" s="40" t="s">
        <v>676</v>
      </c>
    </row>
    <row r="9" spans="1:42" x14ac:dyDescent="0.25">
      <c r="A9" s="41"/>
      <c r="B9" s="41"/>
      <c r="C9" s="41"/>
      <c r="D9" s="41"/>
      <c r="E9" s="41"/>
      <c r="F9" s="83"/>
      <c r="G9" s="41"/>
      <c r="H9" s="48"/>
      <c r="I9" s="48"/>
      <c r="J9" s="41" t="str">
        <f>IFERROR(IF(NOT(ISNUMBER(H9)),"",IF(I9="","ABSENT/NO-SUBMISSION",IF(I9&lt;K9,"No Improvement, Previous marks be assigned.", "Marks Improved"))),"")</f>
        <v/>
      </c>
      <c r="K9" s="98" t="str">
        <f>IFERROR(VALUE(MID(F9,6,FIND("%",F9)-6))*H9/100,"")</f>
        <v/>
      </c>
      <c r="L9" s="40" t="str">
        <f>IF(AND(G9&lt;&gt;"REPEAT COARSE",A9&lt;&gt;""),"CASE#"&amp; A9&amp;": "&amp;"It is to Inform that you have failed "&amp;E9&amp;" due to "&amp;F9&amp;" percentages. You are required to "&amp;VLOOKUP(G9,$AA$1:$AD$30,2,FALSE) &amp;" " &amp;G9&amp;VLOOKUP(G9,$AA$1:$AD$30,3,FALSE),IF(A9&lt;&gt;"","CASE#"&amp; A9&amp;": "&amp;"It is to Inform that you have failed "&amp;E9&amp;" due to "&amp;F9&amp;" percentages. You are required to  "&amp;G9&amp;" next time if you are interested to imporve this CLO.",""))</f>
        <v/>
      </c>
      <c r="AA9" s="40" t="s">
        <v>655</v>
      </c>
      <c r="AB9" s="40" t="s">
        <v>673</v>
      </c>
      <c r="AC9" s="40" t="s">
        <v>676</v>
      </c>
    </row>
    <row r="10" spans="1:42" x14ac:dyDescent="0.25">
      <c r="A10" s="41"/>
      <c r="B10" s="41"/>
      <c r="C10" s="41"/>
      <c r="D10" s="41"/>
      <c r="E10" s="41"/>
      <c r="F10" s="83"/>
      <c r="G10" s="41"/>
      <c r="H10" s="48"/>
      <c r="I10" s="48"/>
      <c r="J10" s="41" t="str">
        <f t="shared" ref="J10:J73" si="0">IFERROR(IF(NOT(ISNUMBER(H10)),"",IF(I10="","ABSENT/NO-SUBMISSION",IF(I10&lt;K10,"No Improvement, Previous marks be assigned.", "Marks Improved"))),"")</f>
        <v/>
      </c>
      <c r="K10" s="98" t="str">
        <f t="shared" ref="K10:K73" si="1">IFERROR(VALUE(MID(F10,6,FIND("%",F10)-6))*H10/100,"")</f>
        <v/>
      </c>
      <c r="L10" s="40" t="str">
        <f t="shared" ref="L10:L73" si="2">IF(AND(G10&lt;&gt;"REPEAT COARSE",A10&lt;&gt;""),"CASE#"&amp; A10&amp;": "&amp;"It is to Inform that you have failed "&amp;E10&amp;" due to "&amp;F10&amp;" percentages. You are required to "&amp;VLOOKUP(G10,$AA$1:$AD$30,2,FALSE) &amp;" " &amp;G10&amp;VLOOKUP(G10,$AA$1:$AD$30,3,FALSE),IF(A10&lt;&gt;"","CASE#"&amp; A10&amp;": "&amp;"It is to Inform that you have failed "&amp;E10&amp;" due to "&amp;F10&amp;" percentages. You are required to  "&amp;G10&amp;" next time if you are interested to imporve this CLO.",""))</f>
        <v/>
      </c>
      <c r="AA10" s="40" t="s">
        <v>656</v>
      </c>
      <c r="AB10" s="40" t="s">
        <v>673</v>
      </c>
      <c r="AC10" s="40" t="s">
        <v>676</v>
      </c>
    </row>
    <row r="11" spans="1:42" x14ac:dyDescent="0.25">
      <c r="A11" s="41"/>
      <c r="B11" s="41"/>
      <c r="C11" s="41"/>
      <c r="D11" s="41"/>
      <c r="E11" s="41"/>
      <c r="F11" s="83"/>
      <c r="G11" s="41"/>
      <c r="H11" s="48"/>
      <c r="I11" s="48"/>
      <c r="J11" s="41" t="str">
        <f t="shared" si="0"/>
        <v/>
      </c>
      <c r="K11" s="98" t="str">
        <f t="shared" si="1"/>
        <v/>
      </c>
      <c r="L11" s="40" t="str">
        <f t="shared" si="2"/>
        <v/>
      </c>
      <c r="AA11" s="40" t="s">
        <v>657</v>
      </c>
      <c r="AB11" s="40" t="s">
        <v>673</v>
      </c>
      <c r="AC11" s="40" t="s">
        <v>676</v>
      </c>
    </row>
    <row r="12" spans="1:42" x14ac:dyDescent="0.25">
      <c r="A12" s="41"/>
      <c r="B12" s="41"/>
      <c r="C12" s="41"/>
      <c r="D12" s="41"/>
      <c r="E12" s="41"/>
      <c r="F12" s="83"/>
      <c r="G12" s="41"/>
      <c r="H12" s="48"/>
      <c r="I12" s="48"/>
      <c r="J12" s="41" t="str">
        <f t="shared" si="0"/>
        <v/>
      </c>
      <c r="K12" s="98" t="str">
        <f t="shared" si="1"/>
        <v/>
      </c>
      <c r="L12" s="40" t="str">
        <f t="shared" si="2"/>
        <v/>
      </c>
      <c r="AA12" s="40" t="s">
        <v>658</v>
      </c>
      <c r="AB12" s="40" t="s">
        <v>673</v>
      </c>
      <c r="AC12" s="40" t="s">
        <v>676</v>
      </c>
    </row>
    <row r="13" spans="1:42" x14ac:dyDescent="0.25">
      <c r="A13" s="41"/>
      <c r="B13" s="41"/>
      <c r="C13" s="41"/>
      <c r="D13" s="41"/>
      <c r="E13" s="41"/>
      <c r="F13" s="83"/>
      <c r="G13" s="41"/>
      <c r="H13" s="48"/>
      <c r="I13" s="48"/>
      <c r="J13" s="41" t="str">
        <f t="shared" si="0"/>
        <v/>
      </c>
      <c r="K13" s="98" t="str">
        <f t="shared" si="1"/>
        <v/>
      </c>
      <c r="L13" s="40" t="str">
        <f t="shared" si="2"/>
        <v/>
      </c>
      <c r="AA13" s="40" t="s">
        <v>659</v>
      </c>
      <c r="AB13" s="40" t="s">
        <v>673</v>
      </c>
      <c r="AC13" s="40" t="s">
        <v>676</v>
      </c>
    </row>
    <row r="14" spans="1:42" x14ac:dyDescent="0.25">
      <c r="A14" s="41"/>
      <c r="B14" s="41"/>
      <c r="C14" s="41"/>
      <c r="D14" s="41"/>
      <c r="E14" s="41"/>
      <c r="F14" s="83"/>
      <c r="G14" s="41"/>
      <c r="H14" s="48"/>
      <c r="I14" s="48"/>
      <c r="J14" s="41" t="str">
        <f t="shared" si="0"/>
        <v/>
      </c>
      <c r="K14" s="98" t="str">
        <f t="shared" si="1"/>
        <v/>
      </c>
      <c r="L14" s="40" t="str">
        <f t="shared" si="2"/>
        <v/>
      </c>
      <c r="AA14" s="40" t="s">
        <v>660</v>
      </c>
      <c r="AB14" s="40" t="s">
        <v>673</v>
      </c>
      <c r="AC14" s="40" t="s">
        <v>676</v>
      </c>
    </row>
    <row r="15" spans="1:42" x14ac:dyDescent="0.25">
      <c r="A15" s="41"/>
      <c r="B15" s="41"/>
      <c r="C15" s="41"/>
      <c r="D15" s="41"/>
      <c r="E15" s="41"/>
      <c r="F15" s="83"/>
      <c r="G15" s="41"/>
      <c r="H15" s="48"/>
      <c r="I15" s="48"/>
      <c r="J15" s="41" t="str">
        <f t="shared" si="0"/>
        <v/>
      </c>
      <c r="K15" s="98" t="str">
        <f t="shared" si="1"/>
        <v/>
      </c>
      <c r="L15" s="40" t="str">
        <f t="shared" si="2"/>
        <v/>
      </c>
      <c r="AA15" s="40" t="s">
        <v>661</v>
      </c>
      <c r="AB15" s="40" t="s">
        <v>673</v>
      </c>
      <c r="AC15" s="40" t="s">
        <v>676</v>
      </c>
    </row>
    <row r="16" spans="1:42" x14ac:dyDescent="0.25">
      <c r="A16" s="41"/>
      <c r="B16" s="41"/>
      <c r="C16" s="41"/>
      <c r="D16" s="41"/>
      <c r="E16" s="41"/>
      <c r="F16" s="83"/>
      <c r="G16" s="41"/>
      <c r="H16" s="48"/>
      <c r="I16" s="48"/>
      <c r="J16" s="41" t="str">
        <f t="shared" si="0"/>
        <v/>
      </c>
      <c r="K16" s="98" t="str">
        <f t="shared" si="1"/>
        <v/>
      </c>
      <c r="L16" s="40" t="str">
        <f t="shared" si="2"/>
        <v/>
      </c>
      <c r="AA16" s="40" t="s">
        <v>662</v>
      </c>
      <c r="AB16" s="40" t="s">
        <v>672</v>
      </c>
      <c r="AC16" s="40" t="s">
        <v>675</v>
      </c>
    </row>
    <row r="17" spans="1:29" x14ac:dyDescent="0.25">
      <c r="A17" s="41"/>
      <c r="B17" s="41"/>
      <c r="C17" s="41"/>
      <c r="D17" s="41"/>
      <c r="E17" s="41"/>
      <c r="F17" s="83"/>
      <c r="G17" s="41"/>
      <c r="H17" s="48"/>
      <c r="I17" s="48"/>
      <c r="J17" s="41" t="str">
        <f t="shared" si="0"/>
        <v/>
      </c>
      <c r="K17" s="98" t="str">
        <f t="shared" si="1"/>
        <v/>
      </c>
      <c r="L17" s="40" t="str">
        <f t="shared" si="2"/>
        <v/>
      </c>
      <c r="AA17" s="40" t="s">
        <v>663</v>
      </c>
      <c r="AB17" s="40" t="s">
        <v>672</v>
      </c>
      <c r="AC17" s="40" t="s">
        <v>675</v>
      </c>
    </row>
    <row r="18" spans="1:29" x14ac:dyDescent="0.25">
      <c r="A18" s="41"/>
      <c r="B18" s="41"/>
      <c r="C18" s="41"/>
      <c r="D18" s="41"/>
      <c r="E18" s="41"/>
      <c r="F18" s="83"/>
      <c r="G18" s="41"/>
      <c r="H18" s="48"/>
      <c r="I18" s="48"/>
      <c r="J18" s="41" t="str">
        <f t="shared" si="0"/>
        <v/>
      </c>
      <c r="K18" s="98" t="str">
        <f t="shared" si="1"/>
        <v/>
      </c>
      <c r="L18" s="40" t="str">
        <f t="shared" si="2"/>
        <v/>
      </c>
      <c r="AA18" s="40" t="s">
        <v>664</v>
      </c>
      <c r="AB18" s="40" t="s">
        <v>672</v>
      </c>
      <c r="AC18" s="40" t="s">
        <v>675</v>
      </c>
    </row>
    <row r="19" spans="1:29" x14ac:dyDescent="0.25">
      <c r="A19" s="41"/>
      <c r="B19" s="41"/>
      <c r="C19" s="41"/>
      <c r="D19" s="41"/>
      <c r="E19" s="41"/>
      <c r="F19" s="83"/>
      <c r="G19" s="41"/>
      <c r="H19" s="48"/>
      <c r="I19" s="48"/>
      <c r="J19" s="41" t="str">
        <f t="shared" si="0"/>
        <v/>
      </c>
      <c r="K19" s="98" t="str">
        <f t="shared" si="1"/>
        <v/>
      </c>
      <c r="L19" s="40" t="str">
        <f t="shared" si="2"/>
        <v/>
      </c>
      <c r="AA19" s="40" t="s">
        <v>665</v>
      </c>
      <c r="AB19" s="40" t="s">
        <v>672</v>
      </c>
      <c r="AC19" s="40" t="s">
        <v>675</v>
      </c>
    </row>
    <row r="20" spans="1:29" x14ac:dyDescent="0.25">
      <c r="A20" s="41"/>
      <c r="B20" s="41"/>
      <c r="C20" s="41"/>
      <c r="D20" s="41"/>
      <c r="E20" s="41"/>
      <c r="F20" s="83"/>
      <c r="G20" s="41"/>
      <c r="H20" s="48"/>
      <c r="I20" s="48"/>
      <c r="J20" s="41" t="str">
        <f t="shared" si="0"/>
        <v/>
      </c>
      <c r="K20" s="98" t="str">
        <f t="shared" si="1"/>
        <v/>
      </c>
      <c r="L20" s="40" t="str">
        <f t="shared" si="2"/>
        <v/>
      </c>
      <c r="AA20" s="40" t="s">
        <v>666</v>
      </c>
      <c r="AB20" s="40" t="s">
        <v>672</v>
      </c>
      <c r="AC20" s="40" t="s">
        <v>675</v>
      </c>
    </row>
    <row r="21" spans="1:29" x14ac:dyDescent="0.25">
      <c r="A21" s="41"/>
      <c r="B21" s="41"/>
      <c r="C21" s="41"/>
      <c r="D21" s="41"/>
      <c r="E21" s="41"/>
      <c r="F21" s="83"/>
      <c r="G21" s="41"/>
      <c r="H21" s="48"/>
      <c r="I21" s="48"/>
      <c r="J21" s="41" t="str">
        <f t="shared" si="0"/>
        <v/>
      </c>
      <c r="K21" s="98" t="str">
        <f t="shared" si="1"/>
        <v/>
      </c>
      <c r="L21" s="40" t="str">
        <f t="shared" si="2"/>
        <v/>
      </c>
      <c r="AA21" s="40" t="s">
        <v>667</v>
      </c>
      <c r="AB21" s="40" t="s">
        <v>673</v>
      </c>
      <c r="AC21" s="40" t="s">
        <v>676</v>
      </c>
    </row>
    <row r="22" spans="1:29" x14ac:dyDescent="0.25">
      <c r="A22" s="41"/>
      <c r="B22" s="41"/>
      <c r="C22" s="41"/>
      <c r="D22" s="41"/>
      <c r="E22" s="41"/>
      <c r="F22" s="83"/>
      <c r="G22" s="41"/>
      <c r="H22" s="48"/>
      <c r="I22" s="48"/>
      <c r="J22" s="41" t="str">
        <f t="shared" si="0"/>
        <v/>
      </c>
      <c r="K22" s="98" t="str">
        <f t="shared" si="1"/>
        <v/>
      </c>
      <c r="L22" s="40" t="str">
        <f t="shared" si="2"/>
        <v/>
      </c>
      <c r="AA22" s="40" t="s">
        <v>668</v>
      </c>
      <c r="AB22" s="40" t="s">
        <v>673</v>
      </c>
      <c r="AC22" s="40" t="s">
        <v>676</v>
      </c>
    </row>
    <row r="23" spans="1:29" x14ac:dyDescent="0.25">
      <c r="A23" s="41"/>
      <c r="B23" s="41"/>
      <c r="C23" s="41"/>
      <c r="D23" s="41"/>
      <c r="E23" s="41"/>
      <c r="F23" s="83"/>
      <c r="G23" s="41"/>
      <c r="H23" s="48"/>
      <c r="I23" s="48"/>
      <c r="J23" s="41" t="str">
        <f t="shared" si="0"/>
        <v/>
      </c>
      <c r="K23" s="98" t="str">
        <f t="shared" si="1"/>
        <v/>
      </c>
      <c r="L23" s="40" t="str">
        <f t="shared" si="2"/>
        <v/>
      </c>
      <c r="AA23" s="40" t="s">
        <v>669</v>
      </c>
      <c r="AB23" s="40" t="s">
        <v>673</v>
      </c>
      <c r="AC23" s="40" t="s">
        <v>676</v>
      </c>
    </row>
    <row r="24" spans="1:29" x14ac:dyDescent="0.25">
      <c r="A24" s="41"/>
      <c r="B24" s="41"/>
      <c r="C24" s="41"/>
      <c r="D24" s="41"/>
      <c r="E24" s="41"/>
      <c r="F24" s="83"/>
      <c r="G24" s="41"/>
      <c r="H24" s="48"/>
      <c r="I24" s="48"/>
      <c r="J24" s="41" t="str">
        <f t="shared" si="0"/>
        <v/>
      </c>
      <c r="K24" s="98" t="str">
        <f t="shared" si="1"/>
        <v/>
      </c>
      <c r="L24" s="40" t="str">
        <f t="shared" si="2"/>
        <v/>
      </c>
      <c r="AA24" s="40" t="s">
        <v>670</v>
      </c>
      <c r="AB24" s="40" t="s">
        <v>673</v>
      </c>
      <c r="AC24" s="40" t="s">
        <v>676</v>
      </c>
    </row>
    <row r="25" spans="1:29" x14ac:dyDescent="0.25">
      <c r="A25" s="41"/>
      <c r="B25" s="41"/>
      <c r="C25" s="41"/>
      <c r="D25" s="41"/>
      <c r="E25" s="41"/>
      <c r="F25" s="83"/>
      <c r="G25" s="41"/>
      <c r="H25" s="48"/>
      <c r="I25" s="48"/>
      <c r="J25" s="41" t="str">
        <f t="shared" si="0"/>
        <v/>
      </c>
      <c r="K25" s="98" t="str">
        <f t="shared" si="1"/>
        <v/>
      </c>
      <c r="L25" s="40" t="str">
        <f t="shared" si="2"/>
        <v/>
      </c>
      <c r="AA25" s="40" t="s">
        <v>671</v>
      </c>
      <c r="AB25" s="40" t="s">
        <v>673</v>
      </c>
      <c r="AC25" s="40" t="s">
        <v>676</v>
      </c>
    </row>
    <row r="26" spans="1:29" x14ac:dyDescent="0.25">
      <c r="A26" s="41"/>
      <c r="B26" s="41"/>
      <c r="C26" s="41"/>
      <c r="D26" s="41"/>
      <c r="E26" s="41"/>
      <c r="F26" s="83"/>
      <c r="G26" s="41"/>
      <c r="H26" s="48"/>
      <c r="I26" s="48"/>
      <c r="J26" s="41" t="str">
        <f t="shared" si="0"/>
        <v/>
      </c>
      <c r="K26" s="98" t="str">
        <f t="shared" si="1"/>
        <v/>
      </c>
      <c r="L26" s="40" t="str">
        <f t="shared" si="2"/>
        <v/>
      </c>
      <c r="AA26" s="40" t="s">
        <v>596</v>
      </c>
    </row>
    <row r="27" spans="1:29" x14ac:dyDescent="0.25">
      <c r="A27" s="41"/>
      <c r="B27" s="41"/>
      <c r="C27" s="41"/>
      <c r="D27" s="41"/>
      <c r="E27" s="41"/>
      <c r="F27" s="83"/>
      <c r="G27" s="41"/>
      <c r="H27" s="48"/>
      <c r="I27" s="48"/>
      <c r="J27" s="41" t="str">
        <f t="shared" si="0"/>
        <v/>
      </c>
      <c r="K27" s="98" t="str">
        <f t="shared" si="1"/>
        <v/>
      </c>
      <c r="L27" s="40" t="str">
        <f t="shared" si="2"/>
        <v/>
      </c>
    </row>
    <row r="28" spans="1:29" x14ac:dyDescent="0.25">
      <c r="A28" s="41"/>
      <c r="B28" s="41"/>
      <c r="C28" s="41"/>
      <c r="D28" s="41"/>
      <c r="E28" s="41"/>
      <c r="F28" s="83"/>
      <c r="G28" s="41"/>
      <c r="H28" s="48"/>
      <c r="I28" s="48"/>
      <c r="J28" s="41" t="str">
        <f t="shared" si="0"/>
        <v/>
      </c>
      <c r="K28" s="98" t="str">
        <f t="shared" si="1"/>
        <v/>
      </c>
      <c r="L28" s="40" t="str">
        <f t="shared" si="2"/>
        <v/>
      </c>
    </row>
    <row r="29" spans="1:29" x14ac:dyDescent="0.25">
      <c r="A29" s="41"/>
      <c r="B29" s="41"/>
      <c r="C29" s="41"/>
      <c r="D29" s="41"/>
      <c r="E29" s="41"/>
      <c r="F29" s="83"/>
      <c r="G29" s="41"/>
      <c r="H29" s="48"/>
      <c r="I29" s="48"/>
      <c r="J29" s="41" t="str">
        <f t="shared" si="0"/>
        <v/>
      </c>
      <c r="K29" s="98" t="str">
        <f t="shared" si="1"/>
        <v/>
      </c>
      <c r="L29" s="40" t="str">
        <f t="shared" si="2"/>
        <v/>
      </c>
    </row>
    <row r="30" spans="1:29" x14ac:dyDescent="0.25">
      <c r="A30" s="41"/>
      <c r="B30" s="41"/>
      <c r="C30" s="41"/>
      <c r="D30" s="41"/>
      <c r="E30" s="41"/>
      <c r="F30" s="83"/>
      <c r="G30" s="41"/>
      <c r="H30" s="48"/>
      <c r="I30" s="48"/>
      <c r="J30" s="41" t="str">
        <f t="shared" si="0"/>
        <v/>
      </c>
      <c r="K30" s="98" t="str">
        <f t="shared" si="1"/>
        <v/>
      </c>
      <c r="L30" s="40" t="str">
        <f t="shared" si="2"/>
        <v/>
      </c>
    </row>
    <row r="31" spans="1:29" x14ac:dyDescent="0.25">
      <c r="A31" s="41"/>
      <c r="B31" s="41"/>
      <c r="C31" s="41"/>
      <c r="D31" s="41"/>
      <c r="E31" s="41"/>
      <c r="F31" s="83"/>
      <c r="G31" s="41"/>
      <c r="H31" s="48"/>
      <c r="I31" s="48"/>
      <c r="J31" s="41" t="str">
        <f t="shared" si="0"/>
        <v/>
      </c>
      <c r="K31" s="98" t="str">
        <f t="shared" si="1"/>
        <v/>
      </c>
      <c r="L31" s="40" t="str">
        <f t="shared" si="2"/>
        <v/>
      </c>
    </row>
    <row r="32" spans="1:29" x14ac:dyDescent="0.25">
      <c r="A32" s="41"/>
      <c r="B32" s="41"/>
      <c r="C32" s="41"/>
      <c r="D32" s="41"/>
      <c r="E32" s="41"/>
      <c r="F32" s="83"/>
      <c r="G32" s="41"/>
      <c r="H32" s="48"/>
      <c r="I32" s="48"/>
      <c r="J32" s="41" t="str">
        <f t="shared" si="0"/>
        <v/>
      </c>
      <c r="K32" s="98" t="str">
        <f t="shared" si="1"/>
        <v/>
      </c>
      <c r="L32" s="40" t="str">
        <f t="shared" si="2"/>
        <v/>
      </c>
    </row>
    <row r="33" spans="1:12" x14ac:dyDescent="0.25">
      <c r="A33" s="41"/>
      <c r="B33" s="41"/>
      <c r="C33" s="41"/>
      <c r="D33" s="41"/>
      <c r="E33" s="41"/>
      <c r="F33" s="83"/>
      <c r="G33" s="41"/>
      <c r="H33" s="48"/>
      <c r="I33" s="48"/>
      <c r="J33" s="41" t="str">
        <f t="shared" si="0"/>
        <v/>
      </c>
      <c r="K33" s="98" t="str">
        <f t="shared" si="1"/>
        <v/>
      </c>
      <c r="L33" s="40" t="str">
        <f t="shared" si="2"/>
        <v/>
      </c>
    </row>
    <row r="34" spans="1:12" x14ac:dyDescent="0.25">
      <c r="A34" s="41"/>
      <c r="B34" s="41"/>
      <c r="C34" s="41"/>
      <c r="D34" s="41"/>
      <c r="E34" s="41"/>
      <c r="F34" s="83"/>
      <c r="G34" s="41"/>
      <c r="H34" s="48"/>
      <c r="I34" s="48"/>
      <c r="J34" s="41" t="str">
        <f t="shared" si="0"/>
        <v/>
      </c>
      <c r="K34" s="98" t="str">
        <f t="shared" si="1"/>
        <v/>
      </c>
      <c r="L34" s="40" t="str">
        <f t="shared" si="2"/>
        <v/>
      </c>
    </row>
    <row r="35" spans="1:12" x14ac:dyDescent="0.25">
      <c r="A35" s="41"/>
      <c r="B35" s="41"/>
      <c r="C35" s="41"/>
      <c r="D35" s="41"/>
      <c r="E35" s="41"/>
      <c r="F35" s="83"/>
      <c r="G35" s="41"/>
      <c r="H35" s="48"/>
      <c r="I35" s="48"/>
      <c r="J35" s="41" t="str">
        <f t="shared" si="0"/>
        <v/>
      </c>
      <c r="K35" s="98" t="str">
        <f t="shared" si="1"/>
        <v/>
      </c>
      <c r="L35" s="40" t="str">
        <f t="shared" si="2"/>
        <v/>
      </c>
    </row>
    <row r="36" spans="1:12" x14ac:dyDescent="0.25">
      <c r="A36" s="41"/>
      <c r="B36" s="41"/>
      <c r="C36" s="41"/>
      <c r="D36" s="41"/>
      <c r="E36" s="41"/>
      <c r="F36" s="83"/>
      <c r="G36" s="41"/>
      <c r="H36" s="48"/>
      <c r="I36" s="48"/>
      <c r="J36" s="41" t="str">
        <f t="shared" si="0"/>
        <v/>
      </c>
      <c r="K36" s="98" t="str">
        <f t="shared" si="1"/>
        <v/>
      </c>
      <c r="L36" s="40" t="str">
        <f t="shared" si="2"/>
        <v/>
      </c>
    </row>
    <row r="37" spans="1:12" x14ac:dyDescent="0.25">
      <c r="A37" s="41"/>
      <c r="B37" s="41"/>
      <c r="C37" s="41"/>
      <c r="D37" s="41"/>
      <c r="E37" s="41"/>
      <c r="F37" s="83"/>
      <c r="G37" s="41"/>
      <c r="H37" s="48"/>
      <c r="I37" s="48"/>
      <c r="J37" s="41" t="str">
        <f t="shared" si="0"/>
        <v/>
      </c>
      <c r="K37" s="98" t="str">
        <f t="shared" si="1"/>
        <v/>
      </c>
      <c r="L37" s="40" t="str">
        <f t="shared" si="2"/>
        <v/>
      </c>
    </row>
    <row r="38" spans="1:12" x14ac:dyDescent="0.25">
      <c r="A38" s="41"/>
      <c r="B38" s="41"/>
      <c r="C38" s="41"/>
      <c r="D38" s="41"/>
      <c r="E38" s="41"/>
      <c r="F38" s="83"/>
      <c r="G38" s="41"/>
      <c r="H38" s="48"/>
      <c r="I38" s="48"/>
      <c r="J38" s="41" t="str">
        <f t="shared" si="0"/>
        <v/>
      </c>
      <c r="K38" s="98" t="str">
        <f t="shared" si="1"/>
        <v/>
      </c>
      <c r="L38" s="40" t="str">
        <f t="shared" si="2"/>
        <v/>
      </c>
    </row>
    <row r="39" spans="1:12" x14ac:dyDescent="0.25">
      <c r="A39" s="41"/>
      <c r="B39" s="41"/>
      <c r="C39" s="41"/>
      <c r="D39" s="41"/>
      <c r="E39" s="41"/>
      <c r="F39" s="83"/>
      <c r="G39" s="41"/>
      <c r="H39" s="48"/>
      <c r="I39" s="48"/>
      <c r="J39" s="41" t="str">
        <f t="shared" si="0"/>
        <v/>
      </c>
      <c r="K39" s="98" t="str">
        <f t="shared" si="1"/>
        <v/>
      </c>
      <c r="L39" s="40" t="str">
        <f t="shared" si="2"/>
        <v/>
      </c>
    </row>
    <row r="40" spans="1:12" x14ac:dyDescent="0.25">
      <c r="A40" s="41"/>
      <c r="B40" s="41"/>
      <c r="C40" s="41"/>
      <c r="D40" s="41"/>
      <c r="E40" s="41"/>
      <c r="F40" s="83"/>
      <c r="G40" s="41"/>
      <c r="H40" s="48"/>
      <c r="I40" s="48"/>
      <c r="J40" s="41" t="str">
        <f t="shared" si="0"/>
        <v/>
      </c>
      <c r="K40" s="98" t="str">
        <f t="shared" si="1"/>
        <v/>
      </c>
      <c r="L40" s="40" t="str">
        <f t="shared" si="2"/>
        <v/>
      </c>
    </row>
    <row r="41" spans="1:12" x14ac:dyDescent="0.25">
      <c r="A41" s="41"/>
      <c r="B41" s="41"/>
      <c r="C41" s="41"/>
      <c r="D41" s="41"/>
      <c r="E41" s="41"/>
      <c r="F41" s="83"/>
      <c r="G41" s="41"/>
      <c r="H41" s="48"/>
      <c r="I41" s="48"/>
      <c r="J41" s="41" t="str">
        <f t="shared" si="0"/>
        <v/>
      </c>
      <c r="K41" s="98" t="str">
        <f t="shared" si="1"/>
        <v/>
      </c>
      <c r="L41" s="40" t="str">
        <f t="shared" si="2"/>
        <v/>
      </c>
    </row>
    <row r="42" spans="1:12" x14ac:dyDescent="0.25">
      <c r="A42" s="41"/>
      <c r="B42" s="41"/>
      <c r="C42" s="41"/>
      <c r="D42" s="41"/>
      <c r="E42" s="41"/>
      <c r="F42" s="83"/>
      <c r="G42" s="41"/>
      <c r="H42" s="48"/>
      <c r="I42" s="48"/>
      <c r="J42" s="41" t="str">
        <f t="shared" si="0"/>
        <v/>
      </c>
      <c r="K42" s="98" t="str">
        <f t="shared" si="1"/>
        <v/>
      </c>
      <c r="L42" s="40" t="str">
        <f t="shared" si="2"/>
        <v/>
      </c>
    </row>
    <row r="43" spans="1:12" x14ac:dyDescent="0.25">
      <c r="A43" s="41"/>
      <c r="B43" s="41"/>
      <c r="C43" s="41"/>
      <c r="D43" s="41"/>
      <c r="E43" s="41"/>
      <c r="F43" s="83"/>
      <c r="G43" s="41"/>
      <c r="H43" s="48"/>
      <c r="I43" s="48"/>
      <c r="J43" s="41" t="str">
        <f t="shared" si="0"/>
        <v/>
      </c>
      <c r="K43" s="98" t="str">
        <f t="shared" si="1"/>
        <v/>
      </c>
      <c r="L43" s="40" t="str">
        <f t="shared" si="2"/>
        <v/>
      </c>
    </row>
    <row r="44" spans="1:12" x14ac:dyDescent="0.25">
      <c r="A44" s="41"/>
      <c r="B44" s="41"/>
      <c r="C44" s="41"/>
      <c r="D44" s="41"/>
      <c r="E44" s="41"/>
      <c r="F44" s="83"/>
      <c r="G44" s="41"/>
      <c r="H44" s="48"/>
      <c r="I44" s="48"/>
      <c r="J44" s="41" t="str">
        <f t="shared" si="0"/>
        <v/>
      </c>
      <c r="K44" s="98" t="str">
        <f t="shared" si="1"/>
        <v/>
      </c>
      <c r="L44" s="40" t="str">
        <f t="shared" si="2"/>
        <v/>
      </c>
    </row>
    <row r="45" spans="1:12" x14ac:dyDescent="0.25">
      <c r="A45" s="41"/>
      <c r="B45" s="41"/>
      <c r="C45" s="41"/>
      <c r="D45" s="41"/>
      <c r="E45" s="41"/>
      <c r="F45" s="83"/>
      <c r="G45" s="41"/>
      <c r="H45" s="48"/>
      <c r="I45" s="48"/>
      <c r="J45" s="41" t="str">
        <f t="shared" si="0"/>
        <v/>
      </c>
      <c r="K45" s="98" t="str">
        <f t="shared" si="1"/>
        <v/>
      </c>
      <c r="L45" s="40" t="str">
        <f t="shared" si="2"/>
        <v/>
      </c>
    </row>
    <row r="46" spans="1:12" x14ac:dyDescent="0.25">
      <c r="A46" s="41"/>
      <c r="B46" s="41"/>
      <c r="C46" s="41"/>
      <c r="D46" s="41"/>
      <c r="E46" s="41"/>
      <c r="F46" s="83"/>
      <c r="G46" s="41"/>
      <c r="H46" s="48"/>
      <c r="I46" s="48"/>
      <c r="J46" s="41" t="str">
        <f t="shared" si="0"/>
        <v/>
      </c>
      <c r="K46" s="98" t="str">
        <f t="shared" si="1"/>
        <v/>
      </c>
      <c r="L46" s="40" t="str">
        <f t="shared" si="2"/>
        <v/>
      </c>
    </row>
    <row r="47" spans="1:12" x14ac:dyDescent="0.25">
      <c r="A47" s="41"/>
      <c r="B47" s="41"/>
      <c r="C47" s="41"/>
      <c r="D47" s="41"/>
      <c r="E47" s="41"/>
      <c r="F47" s="83"/>
      <c r="G47" s="41"/>
      <c r="H47" s="48"/>
      <c r="I47" s="48"/>
      <c r="J47" s="41" t="str">
        <f t="shared" si="0"/>
        <v/>
      </c>
      <c r="K47" s="98" t="str">
        <f t="shared" si="1"/>
        <v/>
      </c>
      <c r="L47" s="40" t="str">
        <f t="shared" si="2"/>
        <v/>
      </c>
    </row>
    <row r="48" spans="1:12" x14ac:dyDescent="0.25">
      <c r="A48" s="41"/>
      <c r="B48" s="41"/>
      <c r="C48" s="41"/>
      <c r="D48" s="41"/>
      <c r="E48" s="41"/>
      <c r="F48" s="83"/>
      <c r="G48" s="41"/>
      <c r="H48" s="48"/>
      <c r="I48" s="48"/>
      <c r="J48" s="41" t="str">
        <f t="shared" si="0"/>
        <v/>
      </c>
      <c r="K48" s="98" t="str">
        <f t="shared" si="1"/>
        <v/>
      </c>
      <c r="L48" s="40" t="str">
        <f t="shared" si="2"/>
        <v/>
      </c>
    </row>
    <row r="49" spans="1:12" x14ac:dyDescent="0.25">
      <c r="A49" s="41"/>
      <c r="B49" s="41"/>
      <c r="C49" s="41"/>
      <c r="D49" s="41"/>
      <c r="E49" s="41"/>
      <c r="F49" s="83"/>
      <c r="G49" s="41"/>
      <c r="H49" s="48"/>
      <c r="I49" s="48"/>
      <c r="J49" s="41" t="str">
        <f t="shared" si="0"/>
        <v/>
      </c>
      <c r="K49" s="98" t="str">
        <f t="shared" si="1"/>
        <v/>
      </c>
      <c r="L49" s="40" t="str">
        <f t="shared" si="2"/>
        <v/>
      </c>
    </row>
    <row r="50" spans="1:12" x14ac:dyDescent="0.25">
      <c r="A50" s="41"/>
      <c r="B50" s="41"/>
      <c r="C50" s="41"/>
      <c r="D50" s="41"/>
      <c r="E50" s="41"/>
      <c r="F50" s="83"/>
      <c r="G50" s="41"/>
      <c r="H50" s="48"/>
      <c r="I50" s="48"/>
      <c r="J50" s="41" t="str">
        <f t="shared" si="0"/>
        <v/>
      </c>
      <c r="K50" s="98" t="str">
        <f t="shared" si="1"/>
        <v/>
      </c>
      <c r="L50" s="40" t="str">
        <f t="shared" si="2"/>
        <v/>
      </c>
    </row>
    <row r="51" spans="1:12" x14ac:dyDescent="0.25">
      <c r="A51" s="41"/>
      <c r="B51" s="41"/>
      <c r="C51" s="41"/>
      <c r="D51" s="41"/>
      <c r="E51" s="41"/>
      <c r="F51" s="83"/>
      <c r="G51" s="41"/>
      <c r="H51" s="48"/>
      <c r="I51" s="48"/>
      <c r="J51" s="41" t="str">
        <f t="shared" si="0"/>
        <v/>
      </c>
      <c r="K51" s="98" t="str">
        <f t="shared" si="1"/>
        <v/>
      </c>
      <c r="L51" s="40" t="str">
        <f t="shared" si="2"/>
        <v/>
      </c>
    </row>
    <row r="52" spans="1:12" x14ac:dyDescent="0.25">
      <c r="A52" s="41"/>
      <c r="B52" s="41"/>
      <c r="C52" s="41"/>
      <c r="D52" s="41"/>
      <c r="E52" s="41"/>
      <c r="F52" s="83"/>
      <c r="G52" s="41"/>
      <c r="H52" s="48"/>
      <c r="I52" s="48"/>
      <c r="J52" s="41" t="str">
        <f t="shared" si="0"/>
        <v/>
      </c>
      <c r="K52" s="98" t="str">
        <f t="shared" si="1"/>
        <v/>
      </c>
      <c r="L52" s="40" t="str">
        <f t="shared" si="2"/>
        <v/>
      </c>
    </row>
    <row r="53" spans="1:12" x14ac:dyDescent="0.25">
      <c r="A53" s="41"/>
      <c r="B53" s="41"/>
      <c r="C53" s="41"/>
      <c r="D53" s="41"/>
      <c r="E53" s="41"/>
      <c r="F53" s="83"/>
      <c r="G53" s="41"/>
      <c r="H53" s="48"/>
      <c r="I53" s="48"/>
      <c r="J53" s="41" t="str">
        <f t="shared" si="0"/>
        <v/>
      </c>
      <c r="K53" s="98" t="str">
        <f t="shared" si="1"/>
        <v/>
      </c>
      <c r="L53" s="40" t="str">
        <f t="shared" si="2"/>
        <v/>
      </c>
    </row>
    <row r="54" spans="1:12" x14ac:dyDescent="0.25">
      <c r="A54" s="41"/>
      <c r="B54" s="41"/>
      <c r="C54" s="41"/>
      <c r="D54" s="41"/>
      <c r="E54" s="41"/>
      <c r="F54" s="83"/>
      <c r="G54" s="41"/>
      <c r="H54" s="48"/>
      <c r="I54" s="48"/>
      <c r="J54" s="41" t="str">
        <f t="shared" si="0"/>
        <v/>
      </c>
      <c r="K54" s="98" t="str">
        <f t="shared" si="1"/>
        <v/>
      </c>
      <c r="L54" s="40" t="str">
        <f t="shared" si="2"/>
        <v/>
      </c>
    </row>
    <row r="55" spans="1:12" x14ac:dyDescent="0.25">
      <c r="A55" s="41"/>
      <c r="B55" s="41"/>
      <c r="C55" s="41"/>
      <c r="D55" s="41"/>
      <c r="E55" s="41"/>
      <c r="F55" s="83"/>
      <c r="G55" s="41"/>
      <c r="H55" s="48"/>
      <c r="I55" s="48"/>
      <c r="J55" s="41" t="str">
        <f t="shared" si="0"/>
        <v/>
      </c>
      <c r="K55" s="98" t="str">
        <f t="shared" si="1"/>
        <v/>
      </c>
      <c r="L55" s="40" t="str">
        <f t="shared" si="2"/>
        <v/>
      </c>
    </row>
    <row r="56" spans="1:12" x14ac:dyDescent="0.25">
      <c r="A56" s="41"/>
      <c r="B56" s="41"/>
      <c r="C56" s="41"/>
      <c r="D56" s="41"/>
      <c r="E56" s="41"/>
      <c r="F56" s="83"/>
      <c r="G56" s="41"/>
      <c r="H56" s="48"/>
      <c r="I56" s="48"/>
      <c r="J56" s="41" t="str">
        <f t="shared" si="0"/>
        <v/>
      </c>
      <c r="K56" s="98" t="str">
        <f t="shared" si="1"/>
        <v/>
      </c>
      <c r="L56" s="40" t="str">
        <f t="shared" si="2"/>
        <v/>
      </c>
    </row>
    <row r="57" spans="1:12" x14ac:dyDescent="0.25">
      <c r="A57" s="41"/>
      <c r="B57" s="41"/>
      <c r="C57" s="41"/>
      <c r="D57" s="41"/>
      <c r="E57" s="41"/>
      <c r="F57" s="83"/>
      <c r="G57" s="41"/>
      <c r="H57" s="48"/>
      <c r="I57" s="48"/>
      <c r="J57" s="41" t="str">
        <f t="shared" si="0"/>
        <v/>
      </c>
      <c r="K57" s="98" t="str">
        <f t="shared" si="1"/>
        <v/>
      </c>
      <c r="L57" s="40" t="str">
        <f t="shared" si="2"/>
        <v/>
      </c>
    </row>
    <row r="58" spans="1:12" x14ac:dyDescent="0.25">
      <c r="A58" s="41"/>
      <c r="B58" s="41"/>
      <c r="C58" s="41"/>
      <c r="D58" s="41"/>
      <c r="E58" s="41"/>
      <c r="F58" s="83"/>
      <c r="G58" s="41"/>
      <c r="H58" s="48"/>
      <c r="I58" s="48"/>
      <c r="J58" s="41" t="str">
        <f t="shared" si="0"/>
        <v/>
      </c>
      <c r="K58" s="98" t="str">
        <f t="shared" si="1"/>
        <v/>
      </c>
      <c r="L58" s="40" t="str">
        <f t="shared" si="2"/>
        <v/>
      </c>
    </row>
    <row r="59" spans="1:12" x14ac:dyDescent="0.25">
      <c r="A59" s="41"/>
      <c r="B59" s="41"/>
      <c r="C59" s="41"/>
      <c r="D59" s="41"/>
      <c r="E59" s="41"/>
      <c r="F59" s="83"/>
      <c r="G59" s="41"/>
      <c r="H59" s="48"/>
      <c r="I59" s="48"/>
      <c r="J59" s="41" t="str">
        <f t="shared" si="0"/>
        <v/>
      </c>
      <c r="K59" s="98" t="str">
        <f t="shared" si="1"/>
        <v/>
      </c>
      <c r="L59" s="40" t="str">
        <f t="shared" si="2"/>
        <v/>
      </c>
    </row>
    <row r="60" spans="1:12" x14ac:dyDescent="0.25">
      <c r="A60" s="41"/>
      <c r="B60" s="41"/>
      <c r="C60" s="41"/>
      <c r="D60" s="41"/>
      <c r="E60" s="41"/>
      <c r="F60" s="83"/>
      <c r="G60" s="41"/>
      <c r="H60" s="48"/>
      <c r="I60" s="48"/>
      <c r="J60" s="41" t="str">
        <f t="shared" si="0"/>
        <v/>
      </c>
      <c r="K60" s="98" t="str">
        <f t="shared" si="1"/>
        <v/>
      </c>
      <c r="L60" s="40" t="str">
        <f t="shared" si="2"/>
        <v/>
      </c>
    </row>
    <row r="61" spans="1:12" x14ac:dyDescent="0.25">
      <c r="A61" s="41"/>
      <c r="B61" s="41"/>
      <c r="C61" s="41"/>
      <c r="D61" s="41"/>
      <c r="E61" s="41"/>
      <c r="F61" s="83"/>
      <c r="G61" s="41"/>
      <c r="H61" s="48"/>
      <c r="I61" s="48"/>
      <c r="J61" s="41" t="str">
        <f t="shared" si="0"/>
        <v/>
      </c>
      <c r="K61" s="98" t="str">
        <f t="shared" si="1"/>
        <v/>
      </c>
      <c r="L61" s="40" t="str">
        <f t="shared" si="2"/>
        <v/>
      </c>
    </row>
    <row r="62" spans="1:12" x14ac:dyDescent="0.25">
      <c r="A62" s="41"/>
      <c r="B62" s="41"/>
      <c r="C62" s="41"/>
      <c r="D62" s="41"/>
      <c r="E62" s="41"/>
      <c r="F62" s="83"/>
      <c r="G62" s="41"/>
      <c r="H62" s="48"/>
      <c r="I62" s="48"/>
      <c r="J62" s="41" t="str">
        <f t="shared" si="0"/>
        <v/>
      </c>
      <c r="K62" s="98" t="str">
        <f t="shared" si="1"/>
        <v/>
      </c>
      <c r="L62" s="40" t="str">
        <f t="shared" si="2"/>
        <v/>
      </c>
    </row>
    <row r="63" spans="1:12" x14ac:dyDescent="0.25">
      <c r="A63" s="41"/>
      <c r="B63" s="41"/>
      <c r="C63" s="41"/>
      <c r="D63" s="41"/>
      <c r="E63" s="41"/>
      <c r="F63" s="83"/>
      <c r="G63" s="41"/>
      <c r="H63" s="48"/>
      <c r="I63" s="48"/>
      <c r="J63" s="41" t="str">
        <f t="shared" si="0"/>
        <v/>
      </c>
      <c r="K63" s="98" t="str">
        <f t="shared" si="1"/>
        <v/>
      </c>
      <c r="L63" s="40" t="str">
        <f t="shared" si="2"/>
        <v/>
      </c>
    </row>
    <row r="64" spans="1:12" x14ac:dyDescent="0.25">
      <c r="A64" s="41"/>
      <c r="B64" s="41"/>
      <c r="C64" s="41"/>
      <c r="D64" s="41"/>
      <c r="E64" s="41"/>
      <c r="F64" s="83"/>
      <c r="G64" s="41"/>
      <c r="H64" s="48"/>
      <c r="I64" s="48"/>
      <c r="J64" s="41" t="str">
        <f t="shared" si="0"/>
        <v/>
      </c>
      <c r="K64" s="98" t="str">
        <f t="shared" si="1"/>
        <v/>
      </c>
      <c r="L64" s="40" t="str">
        <f t="shared" si="2"/>
        <v/>
      </c>
    </row>
    <row r="65" spans="1:12" x14ac:dyDescent="0.25">
      <c r="A65" s="41"/>
      <c r="B65" s="41"/>
      <c r="C65" s="41"/>
      <c r="D65" s="41"/>
      <c r="E65" s="41"/>
      <c r="F65" s="83"/>
      <c r="G65" s="41"/>
      <c r="H65" s="48"/>
      <c r="I65" s="48"/>
      <c r="J65" s="41" t="str">
        <f t="shared" si="0"/>
        <v/>
      </c>
      <c r="K65" s="98" t="str">
        <f t="shared" si="1"/>
        <v/>
      </c>
      <c r="L65" s="40" t="str">
        <f t="shared" si="2"/>
        <v/>
      </c>
    </row>
    <row r="66" spans="1:12" x14ac:dyDescent="0.25">
      <c r="A66" s="41"/>
      <c r="B66" s="41"/>
      <c r="C66" s="41"/>
      <c r="D66" s="41"/>
      <c r="E66" s="41"/>
      <c r="F66" s="83"/>
      <c r="G66" s="41"/>
      <c r="H66" s="48"/>
      <c r="I66" s="48"/>
      <c r="J66" s="41" t="str">
        <f t="shared" si="0"/>
        <v/>
      </c>
      <c r="K66" s="98" t="str">
        <f t="shared" si="1"/>
        <v/>
      </c>
      <c r="L66" s="40" t="str">
        <f t="shared" si="2"/>
        <v/>
      </c>
    </row>
    <row r="67" spans="1:12" x14ac:dyDescent="0.25">
      <c r="A67" s="41"/>
      <c r="B67" s="41"/>
      <c r="C67" s="41"/>
      <c r="D67" s="41"/>
      <c r="E67" s="41"/>
      <c r="F67" s="83"/>
      <c r="G67" s="41"/>
      <c r="H67" s="48"/>
      <c r="I67" s="48"/>
      <c r="J67" s="41" t="str">
        <f t="shared" si="0"/>
        <v/>
      </c>
      <c r="K67" s="98" t="str">
        <f t="shared" si="1"/>
        <v/>
      </c>
      <c r="L67" s="40" t="str">
        <f t="shared" si="2"/>
        <v/>
      </c>
    </row>
    <row r="68" spans="1:12" x14ac:dyDescent="0.25">
      <c r="A68" s="41"/>
      <c r="B68" s="41"/>
      <c r="C68" s="41"/>
      <c r="D68" s="41"/>
      <c r="E68" s="41"/>
      <c r="F68" s="83"/>
      <c r="G68" s="41"/>
      <c r="H68" s="48"/>
      <c r="I68" s="48"/>
      <c r="J68" s="41" t="str">
        <f t="shared" si="0"/>
        <v/>
      </c>
      <c r="K68" s="98" t="str">
        <f t="shared" si="1"/>
        <v/>
      </c>
      <c r="L68" s="40" t="str">
        <f t="shared" si="2"/>
        <v/>
      </c>
    </row>
    <row r="69" spans="1:12" x14ac:dyDescent="0.25">
      <c r="A69" s="41"/>
      <c r="B69" s="41"/>
      <c r="C69" s="41"/>
      <c r="D69" s="41"/>
      <c r="E69" s="41"/>
      <c r="F69" s="83"/>
      <c r="G69" s="41"/>
      <c r="H69" s="48"/>
      <c r="I69" s="48"/>
      <c r="J69" s="41" t="str">
        <f t="shared" si="0"/>
        <v/>
      </c>
      <c r="K69" s="98" t="str">
        <f t="shared" si="1"/>
        <v/>
      </c>
      <c r="L69" s="40" t="str">
        <f t="shared" si="2"/>
        <v/>
      </c>
    </row>
    <row r="70" spans="1:12" x14ac:dyDescent="0.25">
      <c r="A70" s="41"/>
      <c r="B70" s="41"/>
      <c r="C70" s="41"/>
      <c r="D70" s="41"/>
      <c r="E70" s="41"/>
      <c r="F70" s="83"/>
      <c r="G70" s="41"/>
      <c r="H70" s="48"/>
      <c r="I70" s="48"/>
      <c r="J70" s="41" t="str">
        <f t="shared" si="0"/>
        <v/>
      </c>
      <c r="K70" s="98" t="str">
        <f t="shared" si="1"/>
        <v/>
      </c>
      <c r="L70" s="40" t="str">
        <f t="shared" si="2"/>
        <v/>
      </c>
    </row>
    <row r="71" spans="1:12" x14ac:dyDescent="0.25">
      <c r="A71" s="41"/>
      <c r="B71" s="41"/>
      <c r="C71" s="41"/>
      <c r="D71" s="41"/>
      <c r="E71" s="41"/>
      <c r="F71" s="83"/>
      <c r="G71" s="41"/>
      <c r="H71" s="48"/>
      <c r="I71" s="48"/>
      <c r="J71" s="41" t="str">
        <f t="shared" si="0"/>
        <v/>
      </c>
      <c r="K71" s="98" t="str">
        <f t="shared" si="1"/>
        <v/>
      </c>
      <c r="L71" s="40" t="str">
        <f t="shared" si="2"/>
        <v/>
      </c>
    </row>
    <row r="72" spans="1:12" x14ac:dyDescent="0.25">
      <c r="A72" s="41"/>
      <c r="B72" s="41"/>
      <c r="C72" s="41"/>
      <c r="D72" s="41"/>
      <c r="E72" s="41"/>
      <c r="F72" s="83"/>
      <c r="G72" s="41"/>
      <c r="H72" s="48"/>
      <c r="I72" s="48"/>
      <c r="J72" s="41" t="str">
        <f t="shared" si="0"/>
        <v/>
      </c>
      <c r="K72" s="98" t="str">
        <f t="shared" si="1"/>
        <v/>
      </c>
      <c r="L72" s="40" t="str">
        <f t="shared" si="2"/>
        <v/>
      </c>
    </row>
    <row r="73" spans="1:12" x14ac:dyDescent="0.25">
      <c r="A73" s="41"/>
      <c r="B73" s="41"/>
      <c r="C73" s="41"/>
      <c r="D73" s="41"/>
      <c r="E73" s="41"/>
      <c r="F73" s="83"/>
      <c r="G73" s="41"/>
      <c r="H73" s="48"/>
      <c r="I73" s="48"/>
      <c r="J73" s="41" t="str">
        <f t="shared" si="0"/>
        <v/>
      </c>
      <c r="K73" s="98" t="str">
        <f t="shared" si="1"/>
        <v/>
      </c>
      <c r="L73" s="40" t="str">
        <f t="shared" si="2"/>
        <v/>
      </c>
    </row>
    <row r="74" spans="1:12" x14ac:dyDescent="0.25">
      <c r="A74" s="41"/>
      <c r="B74" s="41"/>
      <c r="C74" s="41"/>
      <c r="D74" s="41"/>
      <c r="E74" s="41"/>
      <c r="F74" s="83"/>
      <c r="G74" s="41"/>
      <c r="H74" s="48"/>
      <c r="I74" s="48"/>
      <c r="J74" s="41" t="str">
        <f t="shared" ref="J74:J137" si="3">IFERROR(IF(NOT(ISNUMBER(H74)),"",IF(I74="","ABSENT/NO-SUBMISSION",IF(I74&lt;K74,"No Improvement, Previous marks be assigned.", "Marks Improved"))),"")</f>
        <v/>
      </c>
      <c r="K74" s="98" t="str">
        <f t="shared" ref="K74:K137" si="4">IFERROR(VALUE(MID(F74,6,FIND("%",F74)-6))*H74/100,"")</f>
        <v/>
      </c>
      <c r="L74" s="40" t="str">
        <f t="shared" ref="L74:L137" si="5">IF(AND(G74&lt;&gt;"REPEAT COARSE",A74&lt;&gt;""),"CASE#"&amp; A74&amp;": "&amp;"It is to Inform that you have failed "&amp;E74&amp;" due to "&amp;F74&amp;" percentages. You are required to "&amp;VLOOKUP(G74,$AA$1:$AD$30,2,FALSE) &amp;" " &amp;G74&amp;VLOOKUP(G74,$AA$1:$AD$30,3,FALSE),IF(A74&lt;&gt;"","CASE#"&amp; A74&amp;": "&amp;"It is to Inform that you have failed "&amp;E74&amp;" due to "&amp;F74&amp;" percentages. You are required to  "&amp;G74&amp;" next time if you are interested to imporve this CLO.",""))</f>
        <v/>
      </c>
    </row>
    <row r="75" spans="1:12" x14ac:dyDescent="0.25">
      <c r="A75" s="41"/>
      <c r="B75" s="41"/>
      <c r="C75" s="41"/>
      <c r="D75" s="41"/>
      <c r="E75" s="41"/>
      <c r="F75" s="83"/>
      <c r="G75" s="41"/>
      <c r="H75" s="48"/>
      <c r="I75" s="48"/>
      <c r="J75" s="41" t="str">
        <f t="shared" si="3"/>
        <v/>
      </c>
      <c r="K75" s="98" t="str">
        <f t="shared" si="4"/>
        <v/>
      </c>
      <c r="L75" s="40" t="str">
        <f t="shared" si="5"/>
        <v/>
      </c>
    </row>
    <row r="76" spans="1:12" x14ac:dyDescent="0.25">
      <c r="A76" s="41"/>
      <c r="B76" s="41"/>
      <c r="C76" s="41"/>
      <c r="D76" s="41"/>
      <c r="E76" s="41"/>
      <c r="F76" s="83"/>
      <c r="G76" s="41"/>
      <c r="H76" s="48"/>
      <c r="I76" s="48"/>
      <c r="J76" s="41" t="str">
        <f t="shared" si="3"/>
        <v/>
      </c>
      <c r="K76" s="98" t="str">
        <f t="shared" si="4"/>
        <v/>
      </c>
      <c r="L76" s="40" t="str">
        <f t="shared" si="5"/>
        <v/>
      </c>
    </row>
    <row r="77" spans="1:12" x14ac:dyDescent="0.25">
      <c r="A77" s="41"/>
      <c r="B77" s="41"/>
      <c r="C77" s="41"/>
      <c r="D77" s="41"/>
      <c r="E77" s="41"/>
      <c r="F77" s="83"/>
      <c r="G77" s="41"/>
      <c r="H77" s="48"/>
      <c r="I77" s="48"/>
      <c r="J77" s="41" t="str">
        <f t="shared" si="3"/>
        <v/>
      </c>
      <c r="K77" s="98" t="str">
        <f t="shared" si="4"/>
        <v/>
      </c>
      <c r="L77" s="40" t="str">
        <f t="shared" si="5"/>
        <v/>
      </c>
    </row>
    <row r="78" spans="1:12" x14ac:dyDescent="0.25">
      <c r="A78" s="41"/>
      <c r="B78" s="41"/>
      <c r="C78" s="41"/>
      <c r="D78" s="41"/>
      <c r="E78" s="41"/>
      <c r="F78" s="83"/>
      <c r="G78" s="41"/>
      <c r="H78" s="48"/>
      <c r="I78" s="48"/>
      <c r="J78" s="41" t="str">
        <f t="shared" si="3"/>
        <v/>
      </c>
      <c r="K78" s="98" t="str">
        <f t="shared" si="4"/>
        <v/>
      </c>
      <c r="L78" s="40" t="str">
        <f t="shared" si="5"/>
        <v/>
      </c>
    </row>
    <row r="79" spans="1:12" x14ac:dyDescent="0.25">
      <c r="A79" s="41"/>
      <c r="B79" s="41"/>
      <c r="C79" s="41"/>
      <c r="D79" s="41"/>
      <c r="E79" s="41"/>
      <c r="F79" s="83"/>
      <c r="G79" s="41"/>
      <c r="H79" s="48"/>
      <c r="I79" s="48"/>
      <c r="J79" s="41" t="str">
        <f t="shared" si="3"/>
        <v/>
      </c>
      <c r="K79" s="98" t="str">
        <f t="shared" si="4"/>
        <v/>
      </c>
      <c r="L79" s="40" t="str">
        <f t="shared" si="5"/>
        <v/>
      </c>
    </row>
    <row r="80" spans="1:12" x14ac:dyDescent="0.25">
      <c r="A80" s="41"/>
      <c r="B80" s="41"/>
      <c r="C80" s="41"/>
      <c r="D80" s="41"/>
      <c r="E80" s="41"/>
      <c r="F80" s="83"/>
      <c r="G80" s="41"/>
      <c r="H80" s="48"/>
      <c r="I80" s="48"/>
      <c r="J80" s="41" t="str">
        <f t="shared" si="3"/>
        <v/>
      </c>
      <c r="K80" s="98" t="str">
        <f t="shared" si="4"/>
        <v/>
      </c>
      <c r="L80" s="40" t="str">
        <f t="shared" si="5"/>
        <v/>
      </c>
    </row>
    <row r="81" spans="1:12" x14ac:dyDescent="0.25">
      <c r="A81" s="41"/>
      <c r="B81" s="41"/>
      <c r="C81" s="41"/>
      <c r="D81" s="41"/>
      <c r="E81" s="41"/>
      <c r="F81" s="83"/>
      <c r="G81" s="41"/>
      <c r="H81" s="48"/>
      <c r="I81" s="48"/>
      <c r="J81" s="41" t="str">
        <f t="shared" si="3"/>
        <v/>
      </c>
      <c r="K81" s="98" t="str">
        <f t="shared" si="4"/>
        <v/>
      </c>
      <c r="L81" s="40" t="str">
        <f t="shared" si="5"/>
        <v/>
      </c>
    </row>
    <row r="82" spans="1:12" x14ac:dyDescent="0.25">
      <c r="A82" s="41"/>
      <c r="B82" s="41"/>
      <c r="C82" s="41"/>
      <c r="D82" s="41"/>
      <c r="E82" s="41"/>
      <c r="F82" s="83"/>
      <c r="G82" s="41"/>
      <c r="H82" s="48"/>
      <c r="I82" s="48"/>
      <c r="J82" s="41" t="str">
        <f t="shared" si="3"/>
        <v/>
      </c>
      <c r="K82" s="98" t="str">
        <f t="shared" si="4"/>
        <v/>
      </c>
      <c r="L82" s="40" t="str">
        <f t="shared" si="5"/>
        <v/>
      </c>
    </row>
    <row r="83" spans="1:12" x14ac:dyDescent="0.25">
      <c r="A83" s="41"/>
      <c r="B83" s="41"/>
      <c r="C83" s="41"/>
      <c r="D83" s="41"/>
      <c r="E83" s="41"/>
      <c r="F83" s="83"/>
      <c r="G83" s="41"/>
      <c r="H83" s="48"/>
      <c r="I83" s="48"/>
      <c r="J83" s="41" t="str">
        <f t="shared" si="3"/>
        <v/>
      </c>
      <c r="K83" s="98" t="str">
        <f t="shared" si="4"/>
        <v/>
      </c>
      <c r="L83" s="40" t="str">
        <f t="shared" si="5"/>
        <v/>
      </c>
    </row>
    <row r="84" spans="1:12" x14ac:dyDescent="0.25">
      <c r="A84" s="41"/>
      <c r="B84" s="41"/>
      <c r="C84" s="41"/>
      <c r="D84" s="41"/>
      <c r="E84" s="41"/>
      <c r="F84" s="83"/>
      <c r="G84" s="41"/>
      <c r="H84" s="48"/>
      <c r="I84" s="48"/>
      <c r="J84" s="41" t="str">
        <f t="shared" si="3"/>
        <v/>
      </c>
      <c r="K84" s="98" t="str">
        <f t="shared" si="4"/>
        <v/>
      </c>
      <c r="L84" s="40" t="str">
        <f t="shared" si="5"/>
        <v/>
      </c>
    </row>
    <row r="85" spans="1:12" x14ac:dyDescent="0.25">
      <c r="A85" s="41"/>
      <c r="B85" s="41"/>
      <c r="C85" s="41"/>
      <c r="D85" s="41"/>
      <c r="E85" s="41"/>
      <c r="F85" s="83"/>
      <c r="G85" s="41"/>
      <c r="H85" s="48"/>
      <c r="I85" s="48"/>
      <c r="J85" s="41" t="str">
        <f t="shared" si="3"/>
        <v/>
      </c>
      <c r="K85" s="98" t="str">
        <f t="shared" si="4"/>
        <v/>
      </c>
      <c r="L85" s="40" t="str">
        <f t="shared" si="5"/>
        <v/>
      </c>
    </row>
    <row r="86" spans="1:12" x14ac:dyDescent="0.25">
      <c r="A86" s="41"/>
      <c r="B86" s="41"/>
      <c r="C86" s="41"/>
      <c r="D86" s="41"/>
      <c r="E86" s="41"/>
      <c r="F86" s="83"/>
      <c r="G86" s="41"/>
      <c r="H86" s="48"/>
      <c r="I86" s="48"/>
      <c r="J86" s="41" t="str">
        <f t="shared" si="3"/>
        <v/>
      </c>
      <c r="K86" s="98" t="str">
        <f t="shared" si="4"/>
        <v/>
      </c>
      <c r="L86" s="40" t="str">
        <f t="shared" si="5"/>
        <v/>
      </c>
    </row>
    <row r="87" spans="1:12" x14ac:dyDescent="0.25">
      <c r="A87" s="41"/>
      <c r="B87" s="41"/>
      <c r="C87" s="41"/>
      <c r="D87" s="41"/>
      <c r="E87" s="41"/>
      <c r="F87" s="83"/>
      <c r="G87" s="41"/>
      <c r="H87" s="48"/>
      <c r="I87" s="48"/>
      <c r="J87" s="41" t="str">
        <f t="shared" si="3"/>
        <v/>
      </c>
      <c r="K87" s="98" t="str">
        <f t="shared" si="4"/>
        <v/>
      </c>
      <c r="L87" s="40" t="str">
        <f t="shared" si="5"/>
        <v/>
      </c>
    </row>
    <row r="88" spans="1:12" x14ac:dyDescent="0.25">
      <c r="A88" s="41"/>
      <c r="B88" s="41"/>
      <c r="C88" s="41"/>
      <c r="D88" s="41"/>
      <c r="E88" s="41"/>
      <c r="F88" s="83"/>
      <c r="G88" s="41"/>
      <c r="H88" s="48"/>
      <c r="I88" s="48"/>
      <c r="J88" s="41" t="str">
        <f t="shared" si="3"/>
        <v/>
      </c>
      <c r="K88" s="98" t="str">
        <f t="shared" si="4"/>
        <v/>
      </c>
      <c r="L88" s="40" t="str">
        <f t="shared" si="5"/>
        <v/>
      </c>
    </row>
    <row r="89" spans="1:12" x14ac:dyDescent="0.25">
      <c r="A89" s="41"/>
      <c r="B89" s="41"/>
      <c r="C89" s="41"/>
      <c r="D89" s="41"/>
      <c r="E89" s="41"/>
      <c r="F89" s="83"/>
      <c r="G89" s="41"/>
      <c r="H89" s="48"/>
      <c r="I89" s="48"/>
      <c r="J89" s="41" t="str">
        <f t="shared" si="3"/>
        <v/>
      </c>
      <c r="K89" s="98" t="str">
        <f t="shared" si="4"/>
        <v/>
      </c>
      <c r="L89" s="40" t="str">
        <f t="shared" si="5"/>
        <v/>
      </c>
    </row>
    <row r="90" spans="1:12" x14ac:dyDescent="0.25">
      <c r="A90" s="41"/>
      <c r="B90" s="41"/>
      <c r="C90" s="41"/>
      <c r="D90" s="41"/>
      <c r="E90" s="41"/>
      <c r="F90" s="83"/>
      <c r="G90" s="41"/>
      <c r="H90" s="48"/>
      <c r="I90" s="48"/>
      <c r="J90" s="41" t="str">
        <f t="shared" si="3"/>
        <v/>
      </c>
      <c r="K90" s="98" t="str">
        <f t="shared" si="4"/>
        <v/>
      </c>
      <c r="L90" s="40" t="str">
        <f t="shared" si="5"/>
        <v/>
      </c>
    </row>
    <row r="91" spans="1:12" x14ac:dyDescent="0.25">
      <c r="A91" s="41"/>
      <c r="B91" s="41"/>
      <c r="C91" s="41"/>
      <c r="D91" s="41"/>
      <c r="E91" s="41"/>
      <c r="F91" s="83"/>
      <c r="G91" s="41"/>
      <c r="H91" s="48"/>
      <c r="I91" s="48"/>
      <c r="J91" s="41" t="str">
        <f t="shared" si="3"/>
        <v/>
      </c>
      <c r="K91" s="98" t="str">
        <f t="shared" si="4"/>
        <v/>
      </c>
      <c r="L91" s="40" t="str">
        <f t="shared" si="5"/>
        <v/>
      </c>
    </row>
    <row r="92" spans="1:12" x14ac:dyDescent="0.25">
      <c r="A92" s="41"/>
      <c r="B92" s="41"/>
      <c r="C92" s="41"/>
      <c r="D92" s="41"/>
      <c r="E92" s="41"/>
      <c r="F92" s="83"/>
      <c r="G92" s="41"/>
      <c r="H92" s="48"/>
      <c r="I92" s="48"/>
      <c r="J92" s="41" t="str">
        <f t="shared" si="3"/>
        <v/>
      </c>
      <c r="K92" s="98" t="str">
        <f t="shared" si="4"/>
        <v/>
      </c>
      <c r="L92" s="40" t="str">
        <f t="shared" si="5"/>
        <v/>
      </c>
    </row>
    <row r="93" spans="1:12" x14ac:dyDescent="0.25">
      <c r="A93" s="41"/>
      <c r="B93" s="41"/>
      <c r="C93" s="41"/>
      <c r="D93" s="41"/>
      <c r="E93" s="41"/>
      <c r="F93" s="83"/>
      <c r="G93" s="41"/>
      <c r="H93" s="48"/>
      <c r="I93" s="48"/>
      <c r="J93" s="41" t="str">
        <f t="shared" si="3"/>
        <v/>
      </c>
      <c r="K93" s="98" t="str">
        <f t="shared" si="4"/>
        <v/>
      </c>
      <c r="L93" s="40" t="str">
        <f t="shared" si="5"/>
        <v/>
      </c>
    </row>
    <row r="94" spans="1:12" x14ac:dyDescent="0.25">
      <c r="A94" s="41"/>
      <c r="B94" s="41"/>
      <c r="C94" s="41"/>
      <c r="D94" s="41"/>
      <c r="E94" s="41"/>
      <c r="F94" s="83"/>
      <c r="G94" s="41"/>
      <c r="H94" s="48"/>
      <c r="I94" s="48"/>
      <c r="J94" s="41" t="str">
        <f t="shared" si="3"/>
        <v/>
      </c>
      <c r="K94" s="98" t="str">
        <f t="shared" si="4"/>
        <v/>
      </c>
      <c r="L94" s="40" t="str">
        <f t="shared" si="5"/>
        <v/>
      </c>
    </row>
    <row r="95" spans="1:12" x14ac:dyDescent="0.25">
      <c r="A95" s="41"/>
      <c r="B95" s="41"/>
      <c r="C95" s="41"/>
      <c r="D95" s="41"/>
      <c r="E95" s="41"/>
      <c r="F95" s="83"/>
      <c r="G95" s="41"/>
      <c r="H95" s="48"/>
      <c r="I95" s="48"/>
      <c r="J95" s="41" t="str">
        <f t="shared" si="3"/>
        <v/>
      </c>
      <c r="K95" s="98" t="str">
        <f t="shared" si="4"/>
        <v/>
      </c>
      <c r="L95" s="40" t="str">
        <f t="shared" si="5"/>
        <v/>
      </c>
    </row>
    <row r="96" spans="1:12" x14ac:dyDescent="0.25">
      <c r="A96" s="41"/>
      <c r="B96" s="41"/>
      <c r="C96" s="41"/>
      <c r="D96" s="41"/>
      <c r="E96" s="41"/>
      <c r="F96" s="83"/>
      <c r="G96" s="41"/>
      <c r="H96" s="48"/>
      <c r="I96" s="48"/>
      <c r="J96" s="41" t="str">
        <f t="shared" si="3"/>
        <v/>
      </c>
      <c r="K96" s="98" t="str">
        <f t="shared" si="4"/>
        <v/>
      </c>
      <c r="L96" s="40" t="str">
        <f t="shared" si="5"/>
        <v/>
      </c>
    </row>
    <row r="97" spans="1:12" x14ac:dyDescent="0.25">
      <c r="A97" s="41"/>
      <c r="B97" s="41"/>
      <c r="C97" s="41"/>
      <c r="D97" s="41"/>
      <c r="E97" s="41"/>
      <c r="F97" s="83"/>
      <c r="G97" s="41"/>
      <c r="H97" s="48"/>
      <c r="I97" s="48"/>
      <c r="J97" s="41" t="str">
        <f t="shared" si="3"/>
        <v/>
      </c>
      <c r="K97" s="98" t="str">
        <f t="shared" si="4"/>
        <v/>
      </c>
      <c r="L97" s="40" t="str">
        <f t="shared" si="5"/>
        <v/>
      </c>
    </row>
    <row r="98" spans="1:12" x14ac:dyDescent="0.25">
      <c r="A98" s="41"/>
      <c r="B98" s="41"/>
      <c r="C98" s="41"/>
      <c r="D98" s="41"/>
      <c r="E98" s="41"/>
      <c r="F98" s="83"/>
      <c r="G98" s="41"/>
      <c r="H98" s="48"/>
      <c r="I98" s="48"/>
      <c r="J98" s="41" t="str">
        <f t="shared" si="3"/>
        <v/>
      </c>
      <c r="K98" s="98" t="str">
        <f t="shared" si="4"/>
        <v/>
      </c>
      <c r="L98" s="40" t="str">
        <f t="shared" si="5"/>
        <v/>
      </c>
    </row>
    <row r="99" spans="1:12" x14ac:dyDescent="0.25">
      <c r="A99" s="41"/>
      <c r="B99" s="41"/>
      <c r="C99" s="41"/>
      <c r="D99" s="41"/>
      <c r="E99" s="41"/>
      <c r="F99" s="83"/>
      <c r="G99" s="41"/>
      <c r="H99" s="48"/>
      <c r="I99" s="48"/>
      <c r="J99" s="41" t="str">
        <f t="shared" si="3"/>
        <v/>
      </c>
      <c r="K99" s="98" t="str">
        <f t="shared" si="4"/>
        <v/>
      </c>
      <c r="L99" s="40" t="str">
        <f t="shared" si="5"/>
        <v/>
      </c>
    </row>
    <row r="100" spans="1:12" x14ac:dyDescent="0.25">
      <c r="A100" s="41"/>
      <c r="B100" s="41"/>
      <c r="C100" s="41"/>
      <c r="D100" s="41"/>
      <c r="E100" s="41"/>
      <c r="F100" s="83"/>
      <c r="G100" s="41"/>
      <c r="H100" s="48"/>
      <c r="I100" s="48"/>
      <c r="J100" s="41" t="str">
        <f t="shared" si="3"/>
        <v/>
      </c>
      <c r="K100" s="98" t="str">
        <f t="shared" si="4"/>
        <v/>
      </c>
      <c r="L100" s="40" t="str">
        <f t="shared" si="5"/>
        <v/>
      </c>
    </row>
    <row r="101" spans="1:12" x14ac:dyDescent="0.25">
      <c r="A101" s="41"/>
      <c r="B101" s="41"/>
      <c r="C101" s="41"/>
      <c r="D101" s="41"/>
      <c r="E101" s="41"/>
      <c r="F101" s="83"/>
      <c r="G101" s="41"/>
      <c r="H101" s="48"/>
      <c r="I101" s="48"/>
      <c r="J101" s="41" t="str">
        <f t="shared" si="3"/>
        <v/>
      </c>
      <c r="K101" s="98" t="str">
        <f t="shared" si="4"/>
        <v/>
      </c>
      <c r="L101" s="40" t="str">
        <f t="shared" si="5"/>
        <v/>
      </c>
    </row>
    <row r="102" spans="1:12" x14ac:dyDescent="0.25">
      <c r="A102" s="41"/>
      <c r="B102" s="41"/>
      <c r="C102" s="41"/>
      <c r="D102" s="41"/>
      <c r="E102" s="41"/>
      <c r="F102" s="83"/>
      <c r="G102" s="41"/>
      <c r="H102" s="48"/>
      <c r="I102" s="48"/>
      <c r="J102" s="41" t="str">
        <f t="shared" si="3"/>
        <v/>
      </c>
      <c r="K102" s="98" t="str">
        <f t="shared" si="4"/>
        <v/>
      </c>
      <c r="L102" s="40" t="str">
        <f t="shared" si="5"/>
        <v/>
      </c>
    </row>
    <row r="103" spans="1:12" x14ac:dyDescent="0.25">
      <c r="A103" s="41"/>
      <c r="B103" s="41"/>
      <c r="C103" s="41"/>
      <c r="D103" s="41"/>
      <c r="E103" s="41"/>
      <c r="F103" s="83"/>
      <c r="G103" s="41"/>
      <c r="H103" s="48"/>
      <c r="I103" s="48"/>
      <c r="J103" s="41" t="str">
        <f t="shared" si="3"/>
        <v/>
      </c>
      <c r="K103" s="98" t="str">
        <f t="shared" si="4"/>
        <v/>
      </c>
      <c r="L103" s="40" t="str">
        <f t="shared" si="5"/>
        <v/>
      </c>
    </row>
    <row r="104" spans="1:12" x14ac:dyDescent="0.25">
      <c r="A104" s="41"/>
      <c r="B104" s="41"/>
      <c r="C104" s="41"/>
      <c r="D104" s="41"/>
      <c r="E104" s="41"/>
      <c r="F104" s="83"/>
      <c r="G104" s="41"/>
      <c r="H104" s="48"/>
      <c r="I104" s="48"/>
      <c r="J104" s="41" t="str">
        <f t="shared" si="3"/>
        <v/>
      </c>
      <c r="K104" s="98" t="str">
        <f t="shared" si="4"/>
        <v/>
      </c>
      <c r="L104" s="40" t="str">
        <f t="shared" si="5"/>
        <v/>
      </c>
    </row>
    <row r="105" spans="1:12" x14ac:dyDescent="0.25">
      <c r="A105" s="41"/>
      <c r="B105" s="41"/>
      <c r="C105" s="41"/>
      <c r="D105" s="41"/>
      <c r="E105" s="41"/>
      <c r="F105" s="83"/>
      <c r="G105" s="41"/>
      <c r="H105" s="48"/>
      <c r="I105" s="48"/>
      <c r="J105" s="41" t="str">
        <f t="shared" si="3"/>
        <v/>
      </c>
      <c r="K105" s="98" t="str">
        <f t="shared" si="4"/>
        <v/>
      </c>
      <c r="L105" s="40" t="str">
        <f t="shared" si="5"/>
        <v/>
      </c>
    </row>
    <row r="106" spans="1:12" x14ac:dyDescent="0.25">
      <c r="A106" s="41"/>
      <c r="B106" s="41"/>
      <c r="C106" s="41"/>
      <c r="D106" s="41"/>
      <c r="E106" s="41"/>
      <c r="F106" s="83"/>
      <c r="G106" s="41"/>
      <c r="H106" s="48"/>
      <c r="I106" s="48"/>
      <c r="J106" s="41" t="str">
        <f t="shared" si="3"/>
        <v/>
      </c>
      <c r="K106" s="98" t="str">
        <f t="shared" si="4"/>
        <v/>
      </c>
      <c r="L106" s="40" t="str">
        <f t="shared" si="5"/>
        <v/>
      </c>
    </row>
    <row r="107" spans="1:12" x14ac:dyDescent="0.25">
      <c r="A107" s="41"/>
      <c r="B107" s="41"/>
      <c r="C107" s="41"/>
      <c r="D107" s="41"/>
      <c r="E107" s="41"/>
      <c r="F107" s="83"/>
      <c r="G107" s="41"/>
      <c r="H107" s="48"/>
      <c r="I107" s="48"/>
      <c r="J107" s="41" t="str">
        <f t="shared" si="3"/>
        <v/>
      </c>
      <c r="K107" s="98" t="str">
        <f t="shared" si="4"/>
        <v/>
      </c>
      <c r="L107" s="40" t="str">
        <f t="shared" si="5"/>
        <v/>
      </c>
    </row>
    <row r="108" spans="1:12" x14ac:dyDescent="0.25">
      <c r="A108" s="41"/>
      <c r="B108" s="41"/>
      <c r="C108" s="41"/>
      <c r="D108" s="41"/>
      <c r="E108" s="41"/>
      <c r="F108" s="83"/>
      <c r="G108" s="41"/>
      <c r="H108" s="48"/>
      <c r="I108" s="48"/>
      <c r="J108" s="41" t="str">
        <f t="shared" si="3"/>
        <v/>
      </c>
      <c r="K108" s="98" t="str">
        <f t="shared" si="4"/>
        <v/>
      </c>
      <c r="L108" s="40" t="str">
        <f t="shared" si="5"/>
        <v/>
      </c>
    </row>
    <row r="109" spans="1:12" x14ac:dyDescent="0.25">
      <c r="A109" s="41"/>
      <c r="B109" s="41"/>
      <c r="C109" s="41"/>
      <c r="D109" s="41"/>
      <c r="E109" s="41"/>
      <c r="F109" s="83"/>
      <c r="G109" s="41"/>
      <c r="H109" s="48"/>
      <c r="I109" s="48"/>
      <c r="J109" s="41" t="str">
        <f t="shared" si="3"/>
        <v/>
      </c>
      <c r="K109" s="98" t="str">
        <f t="shared" si="4"/>
        <v/>
      </c>
      <c r="L109" s="40" t="str">
        <f t="shared" si="5"/>
        <v/>
      </c>
    </row>
    <row r="110" spans="1:12" x14ac:dyDescent="0.25">
      <c r="A110" s="41"/>
      <c r="B110" s="41"/>
      <c r="C110" s="41"/>
      <c r="D110" s="41"/>
      <c r="E110" s="41"/>
      <c r="F110" s="83"/>
      <c r="G110" s="41"/>
      <c r="H110" s="48"/>
      <c r="I110" s="48"/>
      <c r="J110" s="41" t="str">
        <f t="shared" si="3"/>
        <v/>
      </c>
      <c r="K110" s="98" t="str">
        <f t="shared" si="4"/>
        <v/>
      </c>
      <c r="L110" s="40" t="str">
        <f t="shared" si="5"/>
        <v/>
      </c>
    </row>
    <row r="111" spans="1:12" x14ac:dyDescent="0.25">
      <c r="A111" s="41"/>
      <c r="B111" s="41"/>
      <c r="C111" s="41"/>
      <c r="D111" s="41"/>
      <c r="E111" s="41"/>
      <c r="F111" s="83"/>
      <c r="G111" s="41"/>
      <c r="H111" s="48"/>
      <c r="I111" s="48"/>
      <c r="J111" s="41" t="str">
        <f t="shared" si="3"/>
        <v/>
      </c>
      <c r="K111" s="98" t="str">
        <f t="shared" si="4"/>
        <v/>
      </c>
      <c r="L111" s="40" t="str">
        <f t="shared" si="5"/>
        <v/>
      </c>
    </row>
    <row r="112" spans="1:12" x14ac:dyDescent="0.25">
      <c r="A112" s="41"/>
      <c r="B112" s="41"/>
      <c r="C112" s="41"/>
      <c r="D112" s="41"/>
      <c r="E112" s="41"/>
      <c r="F112" s="83"/>
      <c r="G112" s="41"/>
      <c r="H112" s="48"/>
      <c r="I112" s="48"/>
      <c r="J112" s="41" t="str">
        <f t="shared" si="3"/>
        <v/>
      </c>
      <c r="K112" s="98" t="str">
        <f t="shared" si="4"/>
        <v/>
      </c>
      <c r="L112" s="40" t="str">
        <f t="shared" si="5"/>
        <v/>
      </c>
    </row>
    <row r="113" spans="1:12" x14ac:dyDescent="0.25">
      <c r="A113" s="41"/>
      <c r="B113" s="41"/>
      <c r="C113" s="41"/>
      <c r="D113" s="41"/>
      <c r="E113" s="41"/>
      <c r="F113" s="83"/>
      <c r="G113" s="41"/>
      <c r="H113" s="48"/>
      <c r="I113" s="48"/>
      <c r="J113" s="41" t="str">
        <f t="shared" si="3"/>
        <v/>
      </c>
      <c r="K113" s="98" t="str">
        <f t="shared" si="4"/>
        <v/>
      </c>
      <c r="L113" s="40" t="str">
        <f t="shared" si="5"/>
        <v/>
      </c>
    </row>
    <row r="114" spans="1:12" x14ac:dyDescent="0.25">
      <c r="A114" s="41"/>
      <c r="B114" s="41"/>
      <c r="C114" s="41"/>
      <c r="D114" s="41"/>
      <c r="E114" s="41"/>
      <c r="F114" s="83"/>
      <c r="G114" s="41"/>
      <c r="H114" s="48"/>
      <c r="I114" s="48"/>
      <c r="J114" s="41" t="str">
        <f t="shared" si="3"/>
        <v/>
      </c>
      <c r="K114" s="98" t="str">
        <f t="shared" si="4"/>
        <v/>
      </c>
      <c r="L114" s="40" t="str">
        <f t="shared" si="5"/>
        <v/>
      </c>
    </row>
    <row r="115" spans="1:12" x14ac:dyDescent="0.25">
      <c r="A115" s="41"/>
      <c r="B115" s="41"/>
      <c r="C115" s="41"/>
      <c r="D115" s="41"/>
      <c r="E115" s="41"/>
      <c r="F115" s="83"/>
      <c r="G115" s="41"/>
      <c r="H115" s="48"/>
      <c r="I115" s="48"/>
      <c r="J115" s="41" t="str">
        <f t="shared" si="3"/>
        <v/>
      </c>
      <c r="K115" s="98" t="str">
        <f t="shared" si="4"/>
        <v/>
      </c>
      <c r="L115" s="40" t="str">
        <f t="shared" si="5"/>
        <v/>
      </c>
    </row>
    <row r="116" spans="1:12" x14ac:dyDescent="0.25">
      <c r="A116" s="41"/>
      <c r="B116" s="41"/>
      <c r="C116" s="41"/>
      <c r="D116" s="41"/>
      <c r="E116" s="41"/>
      <c r="F116" s="83"/>
      <c r="G116" s="41"/>
      <c r="H116" s="48"/>
      <c r="I116" s="48"/>
      <c r="J116" s="41" t="str">
        <f t="shared" si="3"/>
        <v/>
      </c>
      <c r="K116" s="98" t="str">
        <f t="shared" si="4"/>
        <v/>
      </c>
      <c r="L116" s="40" t="str">
        <f t="shared" si="5"/>
        <v/>
      </c>
    </row>
    <row r="117" spans="1:12" x14ac:dyDescent="0.25">
      <c r="A117" s="41"/>
      <c r="B117" s="41"/>
      <c r="C117" s="41"/>
      <c r="D117" s="41"/>
      <c r="E117" s="41"/>
      <c r="F117" s="83"/>
      <c r="G117" s="41"/>
      <c r="H117" s="48"/>
      <c r="I117" s="48"/>
      <c r="J117" s="41" t="str">
        <f t="shared" si="3"/>
        <v/>
      </c>
      <c r="K117" s="98" t="str">
        <f t="shared" si="4"/>
        <v/>
      </c>
      <c r="L117" s="40" t="str">
        <f t="shared" si="5"/>
        <v/>
      </c>
    </row>
    <row r="118" spans="1:12" x14ac:dyDescent="0.25">
      <c r="A118" s="41"/>
      <c r="B118" s="41"/>
      <c r="C118" s="41"/>
      <c r="D118" s="41"/>
      <c r="E118" s="41"/>
      <c r="F118" s="83"/>
      <c r="G118" s="41"/>
      <c r="H118" s="48"/>
      <c r="I118" s="48"/>
      <c r="J118" s="41" t="str">
        <f t="shared" si="3"/>
        <v/>
      </c>
      <c r="K118" s="98" t="str">
        <f t="shared" si="4"/>
        <v/>
      </c>
      <c r="L118" s="40" t="str">
        <f t="shared" si="5"/>
        <v/>
      </c>
    </row>
    <row r="119" spans="1:12" x14ac:dyDescent="0.25">
      <c r="A119" s="41"/>
      <c r="B119" s="41"/>
      <c r="C119" s="41"/>
      <c r="D119" s="41"/>
      <c r="E119" s="41"/>
      <c r="F119" s="83"/>
      <c r="G119" s="41"/>
      <c r="H119" s="48"/>
      <c r="I119" s="48"/>
      <c r="J119" s="41" t="str">
        <f t="shared" si="3"/>
        <v/>
      </c>
      <c r="K119" s="98" t="str">
        <f t="shared" si="4"/>
        <v/>
      </c>
      <c r="L119" s="40" t="str">
        <f t="shared" si="5"/>
        <v/>
      </c>
    </row>
    <row r="120" spans="1:12" x14ac:dyDescent="0.25">
      <c r="A120" s="41"/>
      <c r="B120" s="41"/>
      <c r="C120" s="41"/>
      <c r="D120" s="41"/>
      <c r="E120" s="41"/>
      <c r="F120" s="83"/>
      <c r="G120" s="41"/>
      <c r="H120" s="48"/>
      <c r="I120" s="48"/>
      <c r="J120" s="41" t="str">
        <f t="shared" si="3"/>
        <v/>
      </c>
      <c r="K120" s="98" t="str">
        <f t="shared" si="4"/>
        <v/>
      </c>
      <c r="L120" s="40" t="str">
        <f t="shared" si="5"/>
        <v/>
      </c>
    </row>
    <row r="121" spans="1:12" x14ac:dyDescent="0.25">
      <c r="A121" s="41"/>
      <c r="B121" s="41"/>
      <c r="C121" s="41"/>
      <c r="D121" s="41"/>
      <c r="E121" s="41"/>
      <c r="F121" s="83"/>
      <c r="G121" s="41"/>
      <c r="H121" s="48"/>
      <c r="I121" s="48"/>
      <c r="J121" s="41" t="str">
        <f t="shared" si="3"/>
        <v/>
      </c>
      <c r="K121" s="98" t="str">
        <f t="shared" si="4"/>
        <v/>
      </c>
      <c r="L121" s="40" t="str">
        <f t="shared" si="5"/>
        <v/>
      </c>
    </row>
    <row r="122" spans="1:12" x14ac:dyDescent="0.25">
      <c r="A122" s="41"/>
      <c r="B122" s="41"/>
      <c r="C122" s="41"/>
      <c r="D122" s="41"/>
      <c r="E122" s="41"/>
      <c r="F122" s="83"/>
      <c r="G122" s="41"/>
      <c r="H122" s="48"/>
      <c r="I122" s="48"/>
      <c r="J122" s="41" t="str">
        <f t="shared" si="3"/>
        <v/>
      </c>
      <c r="K122" s="98" t="str">
        <f t="shared" si="4"/>
        <v/>
      </c>
      <c r="L122" s="40" t="str">
        <f t="shared" si="5"/>
        <v/>
      </c>
    </row>
    <row r="123" spans="1:12" x14ac:dyDescent="0.25">
      <c r="A123" s="41"/>
      <c r="B123" s="41"/>
      <c r="C123" s="41"/>
      <c r="D123" s="41"/>
      <c r="E123" s="41"/>
      <c r="F123" s="83"/>
      <c r="G123" s="41"/>
      <c r="H123" s="48"/>
      <c r="I123" s="48"/>
      <c r="J123" s="41" t="str">
        <f t="shared" si="3"/>
        <v/>
      </c>
      <c r="K123" s="98" t="str">
        <f t="shared" si="4"/>
        <v/>
      </c>
      <c r="L123" s="40" t="str">
        <f t="shared" si="5"/>
        <v/>
      </c>
    </row>
    <row r="124" spans="1:12" x14ac:dyDescent="0.25">
      <c r="A124" s="41"/>
      <c r="B124" s="41"/>
      <c r="C124" s="41"/>
      <c r="D124" s="41"/>
      <c r="E124" s="41"/>
      <c r="F124" s="83"/>
      <c r="G124" s="41"/>
      <c r="H124" s="48"/>
      <c r="I124" s="48"/>
      <c r="J124" s="41" t="str">
        <f t="shared" si="3"/>
        <v/>
      </c>
      <c r="K124" s="98" t="str">
        <f t="shared" si="4"/>
        <v/>
      </c>
      <c r="L124" s="40" t="str">
        <f t="shared" si="5"/>
        <v/>
      </c>
    </row>
    <row r="125" spans="1:12" x14ac:dyDescent="0.25">
      <c r="A125" s="41"/>
      <c r="B125" s="41"/>
      <c r="C125" s="41"/>
      <c r="D125" s="41"/>
      <c r="E125" s="41"/>
      <c r="F125" s="83"/>
      <c r="G125" s="41"/>
      <c r="H125" s="48"/>
      <c r="I125" s="48"/>
      <c r="J125" s="41" t="str">
        <f t="shared" si="3"/>
        <v/>
      </c>
      <c r="K125" s="98" t="str">
        <f t="shared" si="4"/>
        <v/>
      </c>
      <c r="L125" s="40" t="str">
        <f t="shared" si="5"/>
        <v/>
      </c>
    </row>
    <row r="126" spans="1:12" x14ac:dyDescent="0.25">
      <c r="A126" s="41"/>
      <c r="B126" s="41"/>
      <c r="C126" s="41"/>
      <c r="D126" s="41"/>
      <c r="E126" s="41"/>
      <c r="F126" s="83"/>
      <c r="G126" s="41"/>
      <c r="H126" s="48"/>
      <c r="I126" s="48"/>
      <c r="J126" s="41" t="str">
        <f t="shared" si="3"/>
        <v/>
      </c>
      <c r="K126" s="98" t="str">
        <f t="shared" si="4"/>
        <v/>
      </c>
      <c r="L126" s="40" t="str">
        <f t="shared" si="5"/>
        <v/>
      </c>
    </row>
    <row r="127" spans="1:12" x14ac:dyDescent="0.25">
      <c r="A127" s="41"/>
      <c r="B127" s="41"/>
      <c r="C127" s="41"/>
      <c r="D127" s="41"/>
      <c r="E127" s="41"/>
      <c r="F127" s="83"/>
      <c r="G127" s="41"/>
      <c r="H127" s="48"/>
      <c r="I127" s="48"/>
      <c r="J127" s="41" t="str">
        <f t="shared" si="3"/>
        <v/>
      </c>
      <c r="K127" s="98" t="str">
        <f t="shared" si="4"/>
        <v/>
      </c>
      <c r="L127" s="40" t="str">
        <f t="shared" si="5"/>
        <v/>
      </c>
    </row>
    <row r="128" spans="1:12" x14ac:dyDescent="0.25">
      <c r="A128" s="41"/>
      <c r="B128" s="41"/>
      <c r="C128" s="41"/>
      <c r="D128" s="41"/>
      <c r="E128" s="41"/>
      <c r="F128" s="83"/>
      <c r="G128" s="41"/>
      <c r="H128" s="48"/>
      <c r="I128" s="48"/>
      <c r="J128" s="41" t="str">
        <f t="shared" si="3"/>
        <v/>
      </c>
      <c r="K128" s="98" t="str">
        <f t="shared" si="4"/>
        <v/>
      </c>
      <c r="L128" s="40" t="str">
        <f t="shared" si="5"/>
        <v/>
      </c>
    </row>
    <row r="129" spans="1:12" x14ac:dyDescent="0.25">
      <c r="A129" s="41"/>
      <c r="B129" s="41"/>
      <c r="C129" s="41"/>
      <c r="D129" s="41"/>
      <c r="E129" s="41"/>
      <c r="F129" s="83"/>
      <c r="G129" s="41"/>
      <c r="H129" s="48"/>
      <c r="I129" s="48"/>
      <c r="J129" s="41" t="str">
        <f t="shared" si="3"/>
        <v/>
      </c>
      <c r="K129" s="98" t="str">
        <f t="shared" si="4"/>
        <v/>
      </c>
      <c r="L129" s="40" t="str">
        <f t="shared" si="5"/>
        <v/>
      </c>
    </row>
    <row r="130" spans="1:12" x14ac:dyDescent="0.25">
      <c r="A130" s="41"/>
      <c r="B130" s="41"/>
      <c r="C130" s="41"/>
      <c r="D130" s="41"/>
      <c r="E130" s="41"/>
      <c r="F130" s="83"/>
      <c r="G130" s="41"/>
      <c r="H130" s="48"/>
      <c r="I130" s="48"/>
      <c r="J130" s="41" t="str">
        <f t="shared" si="3"/>
        <v/>
      </c>
      <c r="K130" s="98" t="str">
        <f t="shared" si="4"/>
        <v/>
      </c>
      <c r="L130" s="40" t="str">
        <f t="shared" si="5"/>
        <v/>
      </c>
    </row>
    <row r="131" spans="1:12" x14ac:dyDescent="0.25">
      <c r="A131" s="41"/>
      <c r="B131" s="41"/>
      <c r="C131" s="41"/>
      <c r="D131" s="41"/>
      <c r="E131" s="41"/>
      <c r="F131" s="83"/>
      <c r="G131" s="41"/>
      <c r="H131" s="48"/>
      <c r="I131" s="48"/>
      <c r="J131" s="41" t="str">
        <f t="shared" si="3"/>
        <v/>
      </c>
      <c r="K131" s="98" t="str">
        <f t="shared" si="4"/>
        <v/>
      </c>
      <c r="L131" s="40" t="str">
        <f t="shared" si="5"/>
        <v/>
      </c>
    </row>
    <row r="132" spans="1:12" x14ac:dyDescent="0.25">
      <c r="A132" s="41"/>
      <c r="B132" s="41"/>
      <c r="C132" s="41"/>
      <c r="D132" s="41"/>
      <c r="E132" s="41"/>
      <c r="F132" s="83"/>
      <c r="G132" s="41"/>
      <c r="H132" s="48"/>
      <c r="I132" s="48"/>
      <c r="J132" s="41" t="str">
        <f t="shared" si="3"/>
        <v/>
      </c>
      <c r="K132" s="98" t="str">
        <f t="shared" si="4"/>
        <v/>
      </c>
      <c r="L132" s="40" t="str">
        <f t="shared" si="5"/>
        <v/>
      </c>
    </row>
    <row r="133" spans="1:12" x14ac:dyDescent="0.25">
      <c r="A133" s="41"/>
      <c r="B133" s="41"/>
      <c r="C133" s="41"/>
      <c r="D133" s="41"/>
      <c r="E133" s="41"/>
      <c r="F133" s="83"/>
      <c r="G133" s="41"/>
      <c r="H133" s="48"/>
      <c r="I133" s="48"/>
      <c r="J133" s="41" t="str">
        <f t="shared" si="3"/>
        <v/>
      </c>
      <c r="K133" s="98" t="str">
        <f t="shared" si="4"/>
        <v/>
      </c>
      <c r="L133" s="40" t="str">
        <f t="shared" si="5"/>
        <v/>
      </c>
    </row>
    <row r="134" spans="1:12" x14ac:dyDescent="0.25">
      <c r="A134" s="41"/>
      <c r="B134" s="41"/>
      <c r="C134" s="41"/>
      <c r="D134" s="41"/>
      <c r="E134" s="41"/>
      <c r="F134" s="83"/>
      <c r="G134" s="41"/>
      <c r="H134" s="48"/>
      <c r="I134" s="48"/>
      <c r="J134" s="41" t="str">
        <f t="shared" si="3"/>
        <v/>
      </c>
      <c r="K134" s="98" t="str">
        <f t="shared" si="4"/>
        <v/>
      </c>
      <c r="L134" s="40" t="str">
        <f t="shared" si="5"/>
        <v/>
      </c>
    </row>
    <row r="135" spans="1:12" x14ac:dyDescent="0.25">
      <c r="A135" s="41"/>
      <c r="B135" s="41"/>
      <c r="C135" s="41"/>
      <c r="D135" s="41"/>
      <c r="E135" s="41"/>
      <c r="F135" s="83"/>
      <c r="G135" s="41"/>
      <c r="H135" s="48"/>
      <c r="I135" s="48"/>
      <c r="J135" s="41" t="str">
        <f t="shared" si="3"/>
        <v/>
      </c>
      <c r="K135" s="98" t="str">
        <f t="shared" si="4"/>
        <v/>
      </c>
      <c r="L135" s="40" t="str">
        <f t="shared" si="5"/>
        <v/>
      </c>
    </row>
    <row r="136" spans="1:12" x14ac:dyDescent="0.25">
      <c r="A136" s="41"/>
      <c r="B136" s="41"/>
      <c r="C136" s="41"/>
      <c r="D136" s="41"/>
      <c r="E136" s="41"/>
      <c r="F136" s="83"/>
      <c r="G136" s="41"/>
      <c r="H136" s="48"/>
      <c r="I136" s="48"/>
      <c r="J136" s="41" t="str">
        <f t="shared" si="3"/>
        <v/>
      </c>
      <c r="K136" s="98" t="str">
        <f t="shared" si="4"/>
        <v/>
      </c>
      <c r="L136" s="40" t="str">
        <f t="shared" si="5"/>
        <v/>
      </c>
    </row>
    <row r="137" spans="1:12" x14ac:dyDescent="0.25">
      <c r="A137" s="41"/>
      <c r="B137" s="41"/>
      <c r="C137" s="41"/>
      <c r="D137" s="41"/>
      <c r="E137" s="41"/>
      <c r="F137" s="83"/>
      <c r="G137" s="41"/>
      <c r="H137" s="48"/>
      <c r="I137" s="48"/>
      <c r="J137" s="41" t="str">
        <f t="shared" si="3"/>
        <v/>
      </c>
      <c r="K137" s="98" t="str">
        <f t="shared" si="4"/>
        <v/>
      </c>
      <c r="L137" s="40" t="str">
        <f t="shared" si="5"/>
        <v/>
      </c>
    </row>
    <row r="138" spans="1:12" x14ac:dyDescent="0.25">
      <c r="A138" s="41"/>
      <c r="B138" s="41"/>
      <c r="C138" s="41"/>
      <c r="D138" s="41"/>
      <c r="E138" s="41"/>
      <c r="F138" s="83"/>
      <c r="G138" s="41"/>
      <c r="H138" s="48"/>
      <c r="I138" s="48"/>
      <c r="J138" s="41" t="str">
        <f t="shared" ref="J138:J201" si="6">IFERROR(IF(NOT(ISNUMBER(H138)),"",IF(I138="","ABSENT/NO-SUBMISSION",IF(I138&lt;K138,"No Improvement, Previous marks be assigned.", "Marks Improved"))),"")</f>
        <v/>
      </c>
      <c r="K138" s="98" t="str">
        <f t="shared" ref="K138:K201" si="7">IFERROR(VALUE(MID(F138,6,FIND("%",F138)-6))*H138/100,"")</f>
        <v/>
      </c>
      <c r="L138" s="40" t="str">
        <f t="shared" ref="L138:L201" si="8">IF(AND(G138&lt;&gt;"REPEAT COARSE",A138&lt;&gt;""),"CASE#"&amp; A138&amp;": "&amp;"It is to Inform that you have failed "&amp;E138&amp;" due to "&amp;F138&amp;" percentages. You are required to "&amp;VLOOKUP(G138,$AA$1:$AD$30,2,FALSE) &amp;" " &amp;G138&amp;VLOOKUP(G138,$AA$1:$AD$30,3,FALSE),IF(A138&lt;&gt;"","CASE#"&amp; A138&amp;": "&amp;"It is to Inform that you have failed "&amp;E138&amp;" due to "&amp;F138&amp;" percentages. You are required to  "&amp;G138&amp;" next time if you are interested to imporve this CLO.",""))</f>
        <v/>
      </c>
    </row>
    <row r="139" spans="1:12" x14ac:dyDescent="0.25">
      <c r="A139" s="41"/>
      <c r="B139" s="41"/>
      <c r="C139" s="41"/>
      <c r="D139" s="41"/>
      <c r="E139" s="41"/>
      <c r="F139" s="83"/>
      <c r="G139" s="41"/>
      <c r="H139" s="48"/>
      <c r="I139" s="48"/>
      <c r="J139" s="41" t="str">
        <f t="shared" si="6"/>
        <v/>
      </c>
      <c r="K139" s="98" t="str">
        <f t="shared" si="7"/>
        <v/>
      </c>
      <c r="L139" s="40" t="str">
        <f t="shared" si="8"/>
        <v/>
      </c>
    </row>
    <row r="140" spans="1:12" x14ac:dyDescent="0.25">
      <c r="A140" s="41"/>
      <c r="B140" s="41"/>
      <c r="C140" s="41"/>
      <c r="D140" s="41"/>
      <c r="E140" s="41"/>
      <c r="F140" s="83"/>
      <c r="G140" s="41"/>
      <c r="H140" s="48"/>
      <c r="I140" s="48"/>
      <c r="J140" s="41" t="str">
        <f t="shared" si="6"/>
        <v/>
      </c>
      <c r="K140" s="98" t="str">
        <f t="shared" si="7"/>
        <v/>
      </c>
      <c r="L140" s="40" t="str">
        <f t="shared" si="8"/>
        <v/>
      </c>
    </row>
    <row r="141" spans="1:12" x14ac:dyDescent="0.25">
      <c r="A141" s="41"/>
      <c r="B141" s="41"/>
      <c r="C141" s="41"/>
      <c r="D141" s="41"/>
      <c r="E141" s="41"/>
      <c r="F141" s="83"/>
      <c r="G141" s="41"/>
      <c r="H141" s="48"/>
      <c r="I141" s="48"/>
      <c r="J141" s="41" t="str">
        <f t="shared" si="6"/>
        <v/>
      </c>
      <c r="K141" s="98" t="str">
        <f t="shared" si="7"/>
        <v/>
      </c>
      <c r="L141" s="40" t="str">
        <f t="shared" si="8"/>
        <v/>
      </c>
    </row>
    <row r="142" spans="1:12" x14ac:dyDescent="0.25">
      <c r="A142" s="41"/>
      <c r="B142" s="41"/>
      <c r="C142" s="41"/>
      <c r="D142" s="41"/>
      <c r="E142" s="41"/>
      <c r="F142" s="83"/>
      <c r="G142" s="41"/>
      <c r="H142" s="48"/>
      <c r="I142" s="48"/>
      <c r="J142" s="41" t="str">
        <f t="shared" si="6"/>
        <v/>
      </c>
      <c r="K142" s="98" t="str">
        <f t="shared" si="7"/>
        <v/>
      </c>
      <c r="L142" s="40" t="str">
        <f t="shared" si="8"/>
        <v/>
      </c>
    </row>
    <row r="143" spans="1:12" x14ac:dyDescent="0.25">
      <c r="A143" s="41"/>
      <c r="B143" s="41"/>
      <c r="C143" s="41"/>
      <c r="D143" s="41"/>
      <c r="E143" s="41"/>
      <c r="F143" s="83"/>
      <c r="G143" s="41"/>
      <c r="H143" s="48"/>
      <c r="I143" s="48"/>
      <c r="J143" s="41" t="str">
        <f t="shared" si="6"/>
        <v/>
      </c>
      <c r="K143" s="98" t="str">
        <f t="shared" si="7"/>
        <v/>
      </c>
      <c r="L143" s="40" t="str">
        <f t="shared" si="8"/>
        <v/>
      </c>
    </row>
    <row r="144" spans="1:12" x14ac:dyDescent="0.25">
      <c r="A144" s="41"/>
      <c r="B144" s="41"/>
      <c r="C144" s="41"/>
      <c r="D144" s="41"/>
      <c r="E144" s="41"/>
      <c r="F144" s="83"/>
      <c r="G144" s="41"/>
      <c r="H144" s="48"/>
      <c r="I144" s="48"/>
      <c r="J144" s="41" t="str">
        <f t="shared" si="6"/>
        <v/>
      </c>
      <c r="K144" s="98" t="str">
        <f t="shared" si="7"/>
        <v/>
      </c>
      <c r="L144" s="40" t="str">
        <f t="shared" si="8"/>
        <v/>
      </c>
    </row>
    <row r="145" spans="1:12" x14ac:dyDescent="0.25">
      <c r="A145" s="41"/>
      <c r="B145" s="41"/>
      <c r="C145" s="41"/>
      <c r="D145" s="41"/>
      <c r="E145" s="41"/>
      <c r="F145" s="83"/>
      <c r="G145" s="41"/>
      <c r="H145" s="48"/>
      <c r="I145" s="48"/>
      <c r="J145" s="41" t="str">
        <f t="shared" si="6"/>
        <v/>
      </c>
      <c r="K145" s="98" t="str">
        <f t="shared" si="7"/>
        <v/>
      </c>
      <c r="L145" s="40" t="str">
        <f t="shared" si="8"/>
        <v/>
      </c>
    </row>
    <row r="146" spans="1:12" x14ac:dyDescent="0.25">
      <c r="A146" s="41"/>
      <c r="B146" s="41"/>
      <c r="C146" s="41"/>
      <c r="D146" s="41"/>
      <c r="E146" s="41"/>
      <c r="F146" s="83"/>
      <c r="G146" s="41"/>
      <c r="H146" s="48"/>
      <c r="I146" s="48"/>
      <c r="J146" s="41" t="str">
        <f t="shared" si="6"/>
        <v/>
      </c>
      <c r="K146" s="98" t="str">
        <f t="shared" si="7"/>
        <v/>
      </c>
      <c r="L146" s="40" t="str">
        <f t="shared" si="8"/>
        <v/>
      </c>
    </row>
    <row r="147" spans="1:12" x14ac:dyDescent="0.25">
      <c r="A147" s="41"/>
      <c r="B147" s="41"/>
      <c r="C147" s="41"/>
      <c r="D147" s="41"/>
      <c r="E147" s="41"/>
      <c r="F147" s="83"/>
      <c r="G147" s="41"/>
      <c r="H147" s="48"/>
      <c r="I147" s="48"/>
      <c r="J147" s="41" t="str">
        <f t="shared" si="6"/>
        <v/>
      </c>
      <c r="K147" s="98" t="str">
        <f t="shared" si="7"/>
        <v/>
      </c>
      <c r="L147" s="40" t="str">
        <f t="shared" si="8"/>
        <v/>
      </c>
    </row>
    <row r="148" spans="1:12" x14ac:dyDescent="0.25">
      <c r="A148" s="41"/>
      <c r="B148" s="41"/>
      <c r="C148" s="41"/>
      <c r="D148" s="41"/>
      <c r="E148" s="41"/>
      <c r="F148" s="83"/>
      <c r="G148" s="41"/>
      <c r="H148" s="48"/>
      <c r="I148" s="48"/>
      <c r="J148" s="41" t="str">
        <f t="shared" si="6"/>
        <v/>
      </c>
      <c r="K148" s="98" t="str">
        <f t="shared" si="7"/>
        <v/>
      </c>
      <c r="L148" s="40" t="str">
        <f t="shared" si="8"/>
        <v/>
      </c>
    </row>
    <row r="149" spans="1:12" x14ac:dyDescent="0.25">
      <c r="A149" s="41"/>
      <c r="B149" s="41"/>
      <c r="C149" s="41"/>
      <c r="D149" s="41"/>
      <c r="E149" s="41"/>
      <c r="F149" s="83"/>
      <c r="G149" s="41"/>
      <c r="H149" s="48"/>
      <c r="I149" s="48"/>
      <c r="J149" s="41" t="str">
        <f t="shared" si="6"/>
        <v/>
      </c>
      <c r="K149" s="98" t="str">
        <f t="shared" si="7"/>
        <v/>
      </c>
      <c r="L149" s="40" t="str">
        <f t="shared" si="8"/>
        <v/>
      </c>
    </row>
    <row r="150" spans="1:12" x14ac:dyDescent="0.25">
      <c r="A150" s="41"/>
      <c r="B150" s="41"/>
      <c r="C150" s="41"/>
      <c r="D150" s="41"/>
      <c r="E150" s="41"/>
      <c r="F150" s="83"/>
      <c r="G150" s="41"/>
      <c r="H150" s="48"/>
      <c r="I150" s="48"/>
      <c r="J150" s="41" t="str">
        <f t="shared" si="6"/>
        <v/>
      </c>
      <c r="K150" s="98" t="str">
        <f t="shared" si="7"/>
        <v/>
      </c>
      <c r="L150" s="40" t="str">
        <f t="shared" si="8"/>
        <v/>
      </c>
    </row>
    <row r="151" spans="1:12" x14ac:dyDescent="0.25">
      <c r="A151" s="41"/>
      <c r="B151" s="41"/>
      <c r="C151" s="41"/>
      <c r="D151" s="41"/>
      <c r="E151" s="41"/>
      <c r="F151" s="83"/>
      <c r="G151" s="41"/>
      <c r="H151" s="48"/>
      <c r="I151" s="48"/>
      <c r="J151" s="41" t="str">
        <f t="shared" si="6"/>
        <v/>
      </c>
      <c r="K151" s="98" t="str">
        <f t="shared" si="7"/>
        <v/>
      </c>
      <c r="L151" s="40" t="str">
        <f t="shared" si="8"/>
        <v/>
      </c>
    </row>
    <row r="152" spans="1:12" x14ac:dyDescent="0.25">
      <c r="A152" s="41"/>
      <c r="B152" s="41"/>
      <c r="C152" s="41"/>
      <c r="D152" s="41"/>
      <c r="E152" s="41"/>
      <c r="F152" s="83"/>
      <c r="G152" s="41"/>
      <c r="H152" s="48"/>
      <c r="I152" s="48"/>
      <c r="J152" s="41" t="str">
        <f t="shared" si="6"/>
        <v/>
      </c>
      <c r="K152" s="98" t="str">
        <f t="shared" si="7"/>
        <v/>
      </c>
      <c r="L152" s="40" t="str">
        <f t="shared" si="8"/>
        <v/>
      </c>
    </row>
    <row r="153" spans="1:12" x14ac:dyDescent="0.25">
      <c r="A153" s="41"/>
      <c r="B153" s="41"/>
      <c r="C153" s="41"/>
      <c r="D153" s="41"/>
      <c r="E153" s="41"/>
      <c r="F153" s="83"/>
      <c r="G153" s="41"/>
      <c r="H153" s="48"/>
      <c r="I153" s="48"/>
      <c r="J153" s="41" t="str">
        <f t="shared" si="6"/>
        <v/>
      </c>
      <c r="K153" s="98" t="str">
        <f t="shared" si="7"/>
        <v/>
      </c>
      <c r="L153" s="40" t="str">
        <f t="shared" si="8"/>
        <v/>
      </c>
    </row>
    <row r="154" spans="1:12" x14ac:dyDescent="0.25">
      <c r="A154" s="41"/>
      <c r="B154" s="41"/>
      <c r="C154" s="41"/>
      <c r="D154" s="41"/>
      <c r="E154" s="41"/>
      <c r="F154" s="83"/>
      <c r="G154" s="41"/>
      <c r="H154" s="48"/>
      <c r="I154" s="48"/>
      <c r="J154" s="41" t="str">
        <f t="shared" si="6"/>
        <v/>
      </c>
      <c r="K154" s="98" t="str">
        <f t="shared" si="7"/>
        <v/>
      </c>
      <c r="L154" s="40" t="str">
        <f t="shared" si="8"/>
        <v/>
      </c>
    </row>
    <row r="155" spans="1:12" x14ac:dyDescent="0.25">
      <c r="A155" s="41"/>
      <c r="B155" s="41"/>
      <c r="C155" s="41"/>
      <c r="D155" s="41"/>
      <c r="E155" s="41"/>
      <c r="F155" s="83"/>
      <c r="G155" s="41"/>
      <c r="H155" s="48"/>
      <c r="I155" s="48"/>
      <c r="J155" s="41" t="str">
        <f t="shared" si="6"/>
        <v/>
      </c>
      <c r="K155" s="98" t="str">
        <f t="shared" si="7"/>
        <v/>
      </c>
      <c r="L155" s="40" t="str">
        <f t="shared" si="8"/>
        <v/>
      </c>
    </row>
    <row r="156" spans="1:12" x14ac:dyDescent="0.25">
      <c r="A156" s="41"/>
      <c r="B156" s="41"/>
      <c r="C156" s="41"/>
      <c r="D156" s="41"/>
      <c r="E156" s="41"/>
      <c r="F156" s="83"/>
      <c r="G156" s="41"/>
      <c r="H156" s="48"/>
      <c r="I156" s="48"/>
      <c r="J156" s="41" t="str">
        <f t="shared" si="6"/>
        <v/>
      </c>
      <c r="K156" s="98" t="str">
        <f t="shared" si="7"/>
        <v/>
      </c>
      <c r="L156" s="40" t="str">
        <f t="shared" si="8"/>
        <v/>
      </c>
    </row>
    <row r="157" spans="1:12" x14ac:dyDescent="0.25">
      <c r="A157" s="41"/>
      <c r="B157" s="41"/>
      <c r="C157" s="41"/>
      <c r="D157" s="41"/>
      <c r="E157" s="41"/>
      <c r="F157" s="83"/>
      <c r="G157" s="41"/>
      <c r="H157" s="48"/>
      <c r="I157" s="48"/>
      <c r="J157" s="41" t="str">
        <f t="shared" si="6"/>
        <v/>
      </c>
      <c r="K157" s="98" t="str">
        <f t="shared" si="7"/>
        <v/>
      </c>
      <c r="L157" s="40" t="str">
        <f t="shared" si="8"/>
        <v/>
      </c>
    </row>
    <row r="158" spans="1:12" x14ac:dyDescent="0.25">
      <c r="A158" s="41"/>
      <c r="B158" s="41"/>
      <c r="C158" s="41"/>
      <c r="D158" s="41"/>
      <c r="E158" s="41"/>
      <c r="F158" s="83"/>
      <c r="G158" s="41"/>
      <c r="H158" s="48"/>
      <c r="I158" s="48"/>
      <c r="J158" s="41" t="str">
        <f t="shared" si="6"/>
        <v/>
      </c>
      <c r="K158" s="98" t="str">
        <f t="shared" si="7"/>
        <v/>
      </c>
      <c r="L158" s="40" t="str">
        <f t="shared" si="8"/>
        <v/>
      </c>
    </row>
    <row r="159" spans="1:12" x14ac:dyDescent="0.25">
      <c r="A159" s="41"/>
      <c r="B159" s="41"/>
      <c r="C159" s="41"/>
      <c r="D159" s="41"/>
      <c r="E159" s="41"/>
      <c r="F159" s="83"/>
      <c r="G159" s="41"/>
      <c r="H159" s="48"/>
      <c r="I159" s="48"/>
      <c r="J159" s="41" t="str">
        <f t="shared" si="6"/>
        <v/>
      </c>
      <c r="K159" s="98" t="str">
        <f t="shared" si="7"/>
        <v/>
      </c>
      <c r="L159" s="40" t="str">
        <f t="shared" si="8"/>
        <v/>
      </c>
    </row>
    <row r="160" spans="1:12" x14ac:dyDescent="0.25">
      <c r="A160" s="41"/>
      <c r="B160" s="41"/>
      <c r="C160" s="41"/>
      <c r="D160" s="41"/>
      <c r="E160" s="41"/>
      <c r="F160" s="83"/>
      <c r="G160" s="41"/>
      <c r="H160" s="48"/>
      <c r="I160" s="48"/>
      <c r="J160" s="41" t="str">
        <f t="shared" si="6"/>
        <v/>
      </c>
      <c r="K160" s="98" t="str">
        <f t="shared" si="7"/>
        <v/>
      </c>
      <c r="L160" s="40" t="str">
        <f t="shared" si="8"/>
        <v/>
      </c>
    </row>
    <row r="161" spans="1:12" x14ac:dyDescent="0.25">
      <c r="A161" s="41"/>
      <c r="B161" s="41"/>
      <c r="C161" s="41"/>
      <c r="D161" s="41"/>
      <c r="E161" s="41"/>
      <c r="F161" s="83"/>
      <c r="G161" s="41"/>
      <c r="H161" s="48"/>
      <c r="I161" s="48"/>
      <c r="J161" s="41" t="str">
        <f t="shared" si="6"/>
        <v/>
      </c>
      <c r="K161" s="98" t="str">
        <f t="shared" si="7"/>
        <v/>
      </c>
      <c r="L161" s="40" t="str">
        <f t="shared" si="8"/>
        <v/>
      </c>
    </row>
    <row r="162" spans="1:12" x14ac:dyDescent="0.25">
      <c r="A162" s="41"/>
      <c r="B162" s="41"/>
      <c r="C162" s="41"/>
      <c r="D162" s="41"/>
      <c r="E162" s="41"/>
      <c r="F162" s="83"/>
      <c r="G162" s="41"/>
      <c r="H162" s="48"/>
      <c r="I162" s="48"/>
      <c r="J162" s="41" t="str">
        <f t="shared" si="6"/>
        <v/>
      </c>
      <c r="K162" s="98" t="str">
        <f t="shared" si="7"/>
        <v/>
      </c>
      <c r="L162" s="40" t="str">
        <f t="shared" si="8"/>
        <v/>
      </c>
    </row>
    <row r="163" spans="1:12" x14ac:dyDescent="0.25">
      <c r="A163" s="41"/>
      <c r="B163" s="41"/>
      <c r="C163" s="41"/>
      <c r="D163" s="41"/>
      <c r="E163" s="41"/>
      <c r="F163" s="83"/>
      <c r="G163" s="41"/>
      <c r="H163" s="48"/>
      <c r="I163" s="48"/>
      <c r="J163" s="41" t="str">
        <f t="shared" si="6"/>
        <v/>
      </c>
      <c r="K163" s="98" t="str">
        <f t="shared" si="7"/>
        <v/>
      </c>
      <c r="L163" s="40" t="str">
        <f t="shared" si="8"/>
        <v/>
      </c>
    </row>
    <row r="164" spans="1:12" x14ac:dyDescent="0.25">
      <c r="A164" s="41"/>
      <c r="B164" s="41"/>
      <c r="C164" s="41"/>
      <c r="D164" s="41"/>
      <c r="E164" s="41"/>
      <c r="F164" s="83"/>
      <c r="G164" s="41"/>
      <c r="H164" s="48"/>
      <c r="I164" s="48"/>
      <c r="J164" s="41" t="str">
        <f t="shared" si="6"/>
        <v/>
      </c>
      <c r="K164" s="98" t="str">
        <f t="shared" si="7"/>
        <v/>
      </c>
      <c r="L164" s="40" t="str">
        <f t="shared" si="8"/>
        <v/>
      </c>
    </row>
    <row r="165" spans="1:12" x14ac:dyDescent="0.25">
      <c r="A165" s="41"/>
      <c r="B165" s="41"/>
      <c r="C165" s="41"/>
      <c r="D165" s="41"/>
      <c r="E165" s="41"/>
      <c r="F165" s="83"/>
      <c r="G165" s="41"/>
      <c r="H165" s="48"/>
      <c r="I165" s="48"/>
      <c r="J165" s="41" t="str">
        <f t="shared" si="6"/>
        <v/>
      </c>
      <c r="K165" s="98" t="str">
        <f t="shared" si="7"/>
        <v/>
      </c>
      <c r="L165" s="40" t="str">
        <f t="shared" si="8"/>
        <v/>
      </c>
    </row>
    <row r="166" spans="1:12" x14ac:dyDescent="0.25">
      <c r="A166" s="41"/>
      <c r="B166" s="41"/>
      <c r="C166" s="41"/>
      <c r="D166" s="41"/>
      <c r="E166" s="41"/>
      <c r="F166" s="83"/>
      <c r="G166" s="41"/>
      <c r="H166" s="48"/>
      <c r="I166" s="48"/>
      <c r="J166" s="41" t="str">
        <f t="shared" si="6"/>
        <v/>
      </c>
      <c r="K166" s="98" t="str">
        <f t="shared" si="7"/>
        <v/>
      </c>
      <c r="L166" s="40" t="str">
        <f t="shared" si="8"/>
        <v/>
      </c>
    </row>
    <row r="167" spans="1:12" x14ac:dyDescent="0.25">
      <c r="A167" s="41"/>
      <c r="B167" s="41"/>
      <c r="C167" s="41"/>
      <c r="D167" s="41"/>
      <c r="E167" s="41"/>
      <c r="F167" s="83"/>
      <c r="G167" s="41"/>
      <c r="H167" s="48"/>
      <c r="I167" s="48"/>
      <c r="J167" s="41" t="str">
        <f t="shared" si="6"/>
        <v/>
      </c>
      <c r="K167" s="98" t="str">
        <f t="shared" si="7"/>
        <v/>
      </c>
      <c r="L167" s="40" t="str">
        <f t="shared" si="8"/>
        <v/>
      </c>
    </row>
    <row r="168" spans="1:12" x14ac:dyDescent="0.25">
      <c r="A168" s="41"/>
      <c r="B168" s="41"/>
      <c r="C168" s="41"/>
      <c r="D168" s="41"/>
      <c r="E168" s="41"/>
      <c r="F168" s="83"/>
      <c r="G168" s="41"/>
      <c r="H168" s="48"/>
      <c r="I168" s="48"/>
      <c r="J168" s="41" t="str">
        <f t="shared" si="6"/>
        <v/>
      </c>
      <c r="K168" s="98" t="str">
        <f t="shared" si="7"/>
        <v/>
      </c>
      <c r="L168" s="40" t="str">
        <f t="shared" si="8"/>
        <v/>
      </c>
    </row>
    <row r="169" spans="1:12" x14ac:dyDescent="0.25">
      <c r="A169" s="41"/>
      <c r="B169" s="41"/>
      <c r="C169" s="41"/>
      <c r="D169" s="41"/>
      <c r="E169" s="41"/>
      <c r="F169" s="83"/>
      <c r="G169" s="41"/>
      <c r="H169" s="48"/>
      <c r="I169" s="48"/>
      <c r="J169" s="41" t="str">
        <f t="shared" si="6"/>
        <v/>
      </c>
      <c r="K169" s="98" t="str">
        <f t="shared" si="7"/>
        <v/>
      </c>
      <c r="L169" s="40" t="str">
        <f t="shared" si="8"/>
        <v/>
      </c>
    </row>
    <row r="170" spans="1:12" x14ac:dyDescent="0.25">
      <c r="A170" s="41"/>
      <c r="B170" s="41"/>
      <c r="C170" s="41"/>
      <c r="D170" s="41"/>
      <c r="E170" s="41"/>
      <c r="F170" s="83"/>
      <c r="G170" s="41"/>
      <c r="H170" s="48"/>
      <c r="I170" s="48"/>
      <c r="J170" s="41" t="str">
        <f t="shared" si="6"/>
        <v/>
      </c>
      <c r="K170" s="98" t="str">
        <f t="shared" si="7"/>
        <v/>
      </c>
      <c r="L170" s="40" t="str">
        <f t="shared" si="8"/>
        <v/>
      </c>
    </row>
    <row r="171" spans="1:12" x14ac:dyDescent="0.25">
      <c r="A171" s="41"/>
      <c r="B171" s="41"/>
      <c r="C171" s="41"/>
      <c r="D171" s="41"/>
      <c r="E171" s="41"/>
      <c r="F171" s="83"/>
      <c r="G171" s="41"/>
      <c r="H171" s="48"/>
      <c r="I171" s="48"/>
      <c r="J171" s="41" t="str">
        <f t="shared" si="6"/>
        <v/>
      </c>
      <c r="K171" s="98" t="str">
        <f t="shared" si="7"/>
        <v/>
      </c>
      <c r="L171" s="40" t="str">
        <f t="shared" si="8"/>
        <v/>
      </c>
    </row>
    <row r="172" spans="1:12" x14ac:dyDescent="0.25">
      <c r="A172" s="41"/>
      <c r="B172" s="41"/>
      <c r="C172" s="41"/>
      <c r="D172" s="41"/>
      <c r="E172" s="41"/>
      <c r="F172" s="83"/>
      <c r="G172" s="41"/>
      <c r="H172" s="48"/>
      <c r="I172" s="48"/>
      <c r="J172" s="41" t="str">
        <f t="shared" si="6"/>
        <v/>
      </c>
      <c r="K172" s="98" t="str">
        <f t="shared" si="7"/>
        <v/>
      </c>
      <c r="L172" s="40" t="str">
        <f t="shared" si="8"/>
        <v/>
      </c>
    </row>
    <row r="173" spans="1:12" x14ac:dyDescent="0.25">
      <c r="A173" s="41"/>
      <c r="B173" s="41"/>
      <c r="C173" s="41"/>
      <c r="D173" s="41"/>
      <c r="E173" s="41"/>
      <c r="F173" s="83"/>
      <c r="G173" s="41"/>
      <c r="H173" s="48"/>
      <c r="I173" s="48"/>
      <c r="J173" s="41" t="str">
        <f t="shared" si="6"/>
        <v/>
      </c>
      <c r="K173" s="98" t="str">
        <f t="shared" si="7"/>
        <v/>
      </c>
      <c r="L173" s="40" t="str">
        <f t="shared" si="8"/>
        <v/>
      </c>
    </row>
    <row r="174" spans="1:12" x14ac:dyDescent="0.25">
      <c r="A174" s="41"/>
      <c r="B174" s="41"/>
      <c r="C174" s="41"/>
      <c r="D174" s="41"/>
      <c r="E174" s="41"/>
      <c r="F174" s="83"/>
      <c r="G174" s="41"/>
      <c r="H174" s="48"/>
      <c r="I174" s="48"/>
      <c r="J174" s="41" t="str">
        <f t="shared" si="6"/>
        <v/>
      </c>
      <c r="K174" s="98" t="str">
        <f t="shared" si="7"/>
        <v/>
      </c>
      <c r="L174" s="40" t="str">
        <f t="shared" si="8"/>
        <v/>
      </c>
    </row>
    <row r="175" spans="1:12" x14ac:dyDescent="0.25">
      <c r="A175" s="41"/>
      <c r="B175" s="41"/>
      <c r="C175" s="41"/>
      <c r="D175" s="41"/>
      <c r="E175" s="41"/>
      <c r="F175" s="83"/>
      <c r="G175" s="41"/>
      <c r="H175" s="48"/>
      <c r="I175" s="48"/>
      <c r="J175" s="41" t="str">
        <f t="shared" si="6"/>
        <v/>
      </c>
      <c r="K175" s="98" t="str">
        <f t="shared" si="7"/>
        <v/>
      </c>
      <c r="L175" s="40" t="str">
        <f t="shared" si="8"/>
        <v/>
      </c>
    </row>
    <row r="176" spans="1:12" x14ac:dyDescent="0.25">
      <c r="A176" s="41"/>
      <c r="B176" s="41"/>
      <c r="C176" s="41"/>
      <c r="D176" s="41"/>
      <c r="E176" s="41"/>
      <c r="F176" s="83"/>
      <c r="G176" s="41"/>
      <c r="H176" s="48"/>
      <c r="I176" s="48"/>
      <c r="J176" s="41" t="str">
        <f t="shared" si="6"/>
        <v/>
      </c>
      <c r="K176" s="98" t="str">
        <f t="shared" si="7"/>
        <v/>
      </c>
      <c r="L176" s="40" t="str">
        <f t="shared" si="8"/>
        <v/>
      </c>
    </row>
    <row r="177" spans="1:12" x14ac:dyDescent="0.25">
      <c r="A177" s="41"/>
      <c r="B177" s="41"/>
      <c r="C177" s="41"/>
      <c r="D177" s="41"/>
      <c r="E177" s="41"/>
      <c r="F177" s="83"/>
      <c r="G177" s="41"/>
      <c r="H177" s="48"/>
      <c r="I177" s="48"/>
      <c r="J177" s="41" t="str">
        <f t="shared" si="6"/>
        <v/>
      </c>
      <c r="K177" s="98" t="str">
        <f t="shared" si="7"/>
        <v/>
      </c>
      <c r="L177" s="40" t="str">
        <f t="shared" si="8"/>
        <v/>
      </c>
    </row>
    <row r="178" spans="1:12" x14ac:dyDescent="0.25">
      <c r="A178" s="41"/>
      <c r="B178" s="41"/>
      <c r="C178" s="41"/>
      <c r="D178" s="41"/>
      <c r="E178" s="41"/>
      <c r="F178" s="83"/>
      <c r="G178" s="41"/>
      <c r="H178" s="48"/>
      <c r="I178" s="48"/>
      <c r="J178" s="41" t="str">
        <f t="shared" si="6"/>
        <v/>
      </c>
      <c r="K178" s="98" t="str">
        <f t="shared" si="7"/>
        <v/>
      </c>
      <c r="L178" s="40" t="str">
        <f t="shared" si="8"/>
        <v/>
      </c>
    </row>
    <row r="179" spans="1:12" x14ac:dyDescent="0.25">
      <c r="A179" s="41"/>
      <c r="B179" s="41"/>
      <c r="C179" s="41"/>
      <c r="D179" s="41"/>
      <c r="E179" s="41"/>
      <c r="F179" s="83"/>
      <c r="G179" s="41"/>
      <c r="H179" s="48"/>
      <c r="I179" s="48"/>
      <c r="J179" s="41" t="str">
        <f t="shared" si="6"/>
        <v/>
      </c>
      <c r="K179" s="98" t="str">
        <f t="shared" si="7"/>
        <v/>
      </c>
      <c r="L179" s="40" t="str">
        <f t="shared" si="8"/>
        <v/>
      </c>
    </row>
    <row r="180" spans="1:12" x14ac:dyDescent="0.25">
      <c r="A180" s="41"/>
      <c r="B180" s="41"/>
      <c r="C180" s="41"/>
      <c r="D180" s="41"/>
      <c r="E180" s="41"/>
      <c r="F180" s="83"/>
      <c r="G180" s="41"/>
      <c r="H180" s="48"/>
      <c r="I180" s="48"/>
      <c r="J180" s="41" t="str">
        <f t="shared" si="6"/>
        <v/>
      </c>
      <c r="K180" s="98" t="str">
        <f t="shared" si="7"/>
        <v/>
      </c>
      <c r="L180" s="40" t="str">
        <f t="shared" si="8"/>
        <v/>
      </c>
    </row>
    <row r="181" spans="1:12" x14ac:dyDescent="0.25">
      <c r="A181" s="41"/>
      <c r="B181" s="41"/>
      <c r="C181" s="41"/>
      <c r="D181" s="41"/>
      <c r="E181" s="41"/>
      <c r="F181" s="83"/>
      <c r="G181" s="41"/>
      <c r="H181" s="48"/>
      <c r="I181" s="48"/>
      <c r="J181" s="41" t="str">
        <f t="shared" si="6"/>
        <v/>
      </c>
      <c r="K181" s="98" t="str">
        <f t="shared" si="7"/>
        <v/>
      </c>
      <c r="L181" s="40" t="str">
        <f t="shared" si="8"/>
        <v/>
      </c>
    </row>
    <row r="182" spans="1:12" x14ac:dyDescent="0.25">
      <c r="A182" s="41"/>
      <c r="B182" s="41"/>
      <c r="C182" s="41"/>
      <c r="D182" s="41"/>
      <c r="E182" s="41"/>
      <c r="F182" s="83"/>
      <c r="G182" s="41"/>
      <c r="H182" s="48"/>
      <c r="I182" s="48"/>
      <c r="J182" s="41" t="str">
        <f t="shared" si="6"/>
        <v/>
      </c>
      <c r="K182" s="98" t="str">
        <f t="shared" si="7"/>
        <v/>
      </c>
      <c r="L182" s="40" t="str">
        <f t="shared" si="8"/>
        <v/>
      </c>
    </row>
    <row r="183" spans="1:12" x14ac:dyDescent="0.25">
      <c r="A183" s="41"/>
      <c r="B183" s="41"/>
      <c r="C183" s="41"/>
      <c r="D183" s="41"/>
      <c r="E183" s="41"/>
      <c r="F183" s="83"/>
      <c r="G183" s="41"/>
      <c r="H183" s="48"/>
      <c r="I183" s="48"/>
      <c r="J183" s="41" t="str">
        <f t="shared" si="6"/>
        <v/>
      </c>
      <c r="K183" s="98" t="str">
        <f t="shared" si="7"/>
        <v/>
      </c>
      <c r="L183" s="40" t="str">
        <f t="shared" si="8"/>
        <v/>
      </c>
    </row>
    <row r="184" spans="1:12" x14ac:dyDescent="0.25">
      <c r="A184" s="41"/>
      <c r="B184" s="41"/>
      <c r="C184" s="41"/>
      <c r="D184" s="41"/>
      <c r="E184" s="41"/>
      <c r="F184" s="83"/>
      <c r="G184" s="41"/>
      <c r="H184" s="48"/>
      <c r="I184" s="48"/>
      <c r="J184" s="41" t="str">
        <f t="shared" si="6"/>
        <v/>
      </c>
      <c r="K184" s="98" t="str">
        <f t="shared" si="7"/>
        <v/>
      </c>
      <c r="L184" s="40" t="str">
        <f t="shared" si="8"/>
        <v/>
      </c>
    </row>
    <row r="185" spans="1:12" x14ac:dyDescent="0.25">
      <c r="A185" s="41"/>
      <c r="B185" s="41"/>
      <c r="C185" s="41"/>
      <c r="D185" s="41"/>
      <c r="E185" s="41"/>
      <c r="F185" s="83"/>
      <c r="G185" s="41"/>
      <c r="H185" s="48"/>
      <c r="I185" s="48"/>
      <c r="J185" s="41" t="str">
        <f t="shared" si="6"/>
        <v/>
      </c>
      <c r="K185" s="98" t="str">
        <f t="shared" si="7"/>
        <v/>
      </c>
      <c r="L185" s="40" t="str">
        <f t="shared" si="8"/>
        <v/>
      </c>
    </row>
    <row r="186" spans="1:12" x14ac:dyDescent="0.25">
      <c r="A186" s="41"/>
      <c r="B186" s="41"/>
      <c r="C186" s="41"/>
      <c r="D186" s="41"/>
      <c r="E186" s="41"/>
      <c r="F186" s="83"/>
      <c r="G186" s="41"/>
      <c r="H186" s="48"/>
      <c r="I186" s="48"/>
      <c r="J186" s="41" t="str">
        <f t="shared" si="6"/>
        <v/>
      </c>
      <c r="K186" s="98" t="str">
        <f t="shared" si="7"/>
        <v/>
      </c>
      <c r="L186" s="40" t="str">
        <f t="shared" si="8"/>
        <v/>
      </c>
    </row>
    <row r="187" spans="1:12" x14ac:dyDescent="0.25">
      <c r="A187" s="41"/>
      <c r="B187" s="41"/>
      <c r="C187" s="41"/>
      <c r="D187" s="41"/>
      <c r="E187" s="41"/>
      <c r="F187" s="83"/>
      <c r="G187" s="41"/>
      <c r="H187" s="48"/>
      <c r="I187" s="48"/>
      <c r="J187" s="41" t="str">
        <f t="shared" si="6"/>
        <v/>
      </c>
      <c r="K187" s="98" t="str">
        <f t="shared" si="7"/>
        <v/>
      </c>
      <c r="L187" s="40" t="str">
        <f t="shared" si="8"/>
        <v/>
      </c>
    </row>
    <row r="188" spans="1:12" x14ac:dyDescent="0.25">
      <c r="A188" s="41"/>
      <c r="B188" s="41"/>
      <c r="C188" s="41"/>
      <c r="D188" s="41"/>
      <c r="E188" s="41"/>
      <c r="F188" s="83"/>
      <c r="G188" s="41"/>
      <c r="H188" s="48"/>
      <c r="I188" s="48"/>
      <c r="J188" s="41" t="str">
        <f t="shared" si="6"/>
        <v/>
      </c>
      <c r="K188" s="98" t="str">
        <f t="shared" si="7"/>
        <v/>
      </c>
      <c r="L188" s="40" t="str">
        <f t="shared" si="8"/>
        <v/>
      </c>
    </row>
    <row r="189" spans="1:12" x14ac:dyDescent="0.25">
      <c r="A189" s="41"/>
      <c r="B189" s="41"/>
      <c r="C189" s="41"/>
      <c r="D189" s="41"/>
      <c r="E189" s="41"/>
      <c r="F189" s="83"/>
      <c r="G189" s="41"/>
      <c r="H189" s="48"/>
      <c r="I189" s="48"/>
      <c r="J189" s="41" t="str">
        <f t="shared" si="6"/>
        <v/>
      </c>
      <c r="K189" s="98" t="str">
        <f t="shared" si="7"/>
        <v/>
      </c>
      <c r="L189" s="40" t="str">
        <f t="shared" si="8"/>
        <v/>
      </c>
    </row>
    <row r="190" spans="1:12" x14ac:dyDescent="0.25">
      <c r="A190" s="41"/>
      <c r="B190" s="41"/>
      <c r="C190" s="41"/>
      <c r="D190" s="41"/>
      <c r="E190" s="41"/>
      <c r="F190" s="83"/>
      <c r="G190" s="41"/>
      <c r="H190" s="48"/>
      <c r="I190" s="48"/>
      <c r="J190" s="41" t="str">
        <f t="shared" si="6"/>
        <v/>
      </c>
      <c r="K190" s="98" t="str">
        <f t="shared" si="7"/>
        <v/>
      </c>
      <c r="L190" s="40" t="str">
        <f t="shared" si="8"/>
        <v/>
      </c>
    </row>
    <row r="191" spans="1:12" x14ac:dyDescent="0.25">
      <c r="A191" s="41"/>
      <c r="B191" s="41"/>
      <c r="C191" s="41"/>
      <c r="D191" s="41"/>
      <c r="E191" s="41"/>
      <c r="F191" s="83"/>
      <c r="G191" s="41"/>
      <c r="H191" s="48"/>
      <c r="I191" s="48"/>
      <c r="J191" s="41" t="str">
        <f t="shared" si="6"/>
        <v/>
      </c>
      <c r="K191" s="98" t="str">
        <f t="shared" si="7"/>
        <v/>
      </c>
      <c r="L191" s="40" t="str">
        <f t="shared" si="8"/>
        <v/>
      </c>
    </row>
    <row r="192" spans="1:12" x14ac:dyDescent="0.25">
      <c r="A192" s="41"/>
      <c r="B192" s="41"/>
      <c r="C192" s="41"/>
      <c r="D192" s="41"/>
      <c r="E192" s="41"/>
      <c r="F192" s="83"/>
      <c r="G192" s="41"/>
      <c r="H192" s="48"/>
      <c r="I192" s="48"/>
      <c r="J192" s="41" t="str">
        <f t="shared" si="6"/>
        <v/>
      </c>
      <c r="K192" s="98" t="str">
        <f t="shared" si="7"/>
        <v/>
      </c>
      <c r="L192" s="40" t="str">
        <f t="shared" si="8"/>
        <v/>
      </c>
    </row>
    <row r="193" spans="1:12" x14ac:dyDescent="0.25">
      <c r="A193" s="41"/>
      <c r="B193" s="41"/>
      <c r="C193" s="41"/>
      <c r="D193" s="41"/>
      <c r="E193" s="41"/>
      <c r="F193" s="83"/>
      <c r="G193" s="41"/>
      <c r="H193" s="48"/>
      <c r="I193" s="48"/>
      <c r="J193" s="41" t="str">
        <f t="shared" si="6"/>
        <v/>
      </c>
      <c r="K193" s="98" t="str">
        <f t="shared" si="7"/>
        <v/>
      </c>
      <c r="L193" s="40" t="str">
        <f t="shared" si="8"/>
        <v/>
      </c>
    </row>
    <row r="194" spans="1:12" x14ac:dyDescent="0.25">
      <c r="A194" s="41"/>
      <c r="B194" s="41"/>
      <c r="C194" s="41"/>
      <c r="D194" s="41"/>
      <c r="E194" s="41"/>
      <c r="F194" s="83"/>
      <c r="G194" s="41"/>
      <c r="H194" s="48"/>
      <c r="I194" s="48"/>
      <c r="J194" s="41" t="str">
        <f t="shared" si="6"/>
        <v/>
      </c>
      <c r="K194" s="98" t="str">
        <f t="shared" si="7"/>
        <v/>
      </c>
      <c r="L194" s="40" t="str">
        <f t="shared" si="8"/>
        <v/>
      </c>
    </row>
    <row r="195" spans="1:12" x14ac:dyDescent="0.25">
      <c r="A195" s="41"/>
      <c r="B195" s="41"/>
      <c r="C195" s="41"/>
      <c r="D195" s="41"/>
      <c r="E195" s="41"/>
      <c r="F195" s="83"/>
      <c r="G195" s="41"/>
      <c r="H195" s="48"/>
      <c r="I195" s="48"/>
      <c r="J195" s="41" t="str">
        <f t="shared" si="6"/>
        <v/>
      </c>
      <c r="K195" s="98" t="str">
        <f t="shared" si="7"/>
        <v/>
      </c>
      <c r="L195" s="40" t="str">
        <f t="shared" si="8"/>
        <v/>
      </c>
    </row>
    <row r="196" spans="1:12" x14ac:dyDescent="0.25">
      <c r="A196" s="41"/>
      <c r="B196" s="41"/>
      <c r="C196" s="41"/>
      <c r="D196" s="41"/>
      <c r="E196" s="41"/>
      <c r="F196" s="83"/>
      <c r="G196" s="41"/>
      <c r="H196" s="48"/>
      <c r="I196" s="48"/>
      <c r="J196" s="41" t="str">
        <f t="shared" si="6"/>
        <v/>
      </c>
      <c r="K196" s="98" t="str">
        <f t="shared" si="7"/>
        <v/>
      </c>
      <c r="L196" s="40" t="str">
        <f t="shared" si="8"/>
        <v/>
      </c>
    </row>
    <row r="197" spans="1:12" x14ac:dyDescent="0.25">
      <c r="A197" s="41"/>
      <c r="B197" s="41"/>
      <c r="C197" s="41"/>
      <c r="D197" s="41"/>
      <c r="E197" s="41"/>
      <c r="F197" s="83"/>
      <c r="G197" s="41"/>
      <c r="H197" s="48"/>
      <c r="I197" s="48"/>
      <c r="J197" s="41" t="str">
        <f t="shared" si="6"/>
        <v/>
      </c>
      <c r="K197" s="98" t="str">
        <f t="shared" si="7"/>
        <v/>
      </c>
      <c r="L197" s="40" t="str">
        <f t="shared" si="8"/>
        <v/>
      </c>
    </row>
    <row r="198" spans="1:12" x14ac:dyDescent="0.25">
      <c r="A198" s="41"/>
      <c r="B198" s="41"/>
      <c r="C198" s="41"/>
      <c r="D198" s="41"/>
      <c r="E198" s="41"/>
      <c r="F198" s="83"/>
      <c r="G198" s="41"/>
      <c r="H198" s="48"/>
      <c r="I198" s="48"/>
      <c r="J198" s="41" t="str">
        <f t="shared" si="6"/>
        <v/>
      </c>
      <c r="K198" s="98" t="str">
        <f t="shared" si="7"/>
        <v/>
      </c>
      <c r="L198" s="40" t="str">
        <f t="shared" si="8"/>
        <v/>
      </c>
    </row>
    <row r="199" spans="1:12" x14ac:dyDescent="0.25">
      <c r="A199" s="41"/>
      <c r="B199" s="41"/>
      <c r="C199" s="41"/>
      <c r="D199" s="41"/>
      <c r="E199" s="41"/>
      <c r="F199" s="83"/>
      <c r="G199" s="41"/>
      <c r="H199" s="48"/>
      <c r="I199" s="48"/>
      <c r="J199" s="41" t="str">
        <f t="shared" si="6"/>
        <v/>
      </c>
      <c r="K199" s="98" t="str">
        <f t="shared" si="7"/>
        <v/>
      </c>
      <c r="L199" s="40" t="str">
        <f t="shared" si="8"/>
        <v/>
      </c>
    </row>
    <row r="200" spans="1:12" x14ac:dyDescent="0.25">
      <c r="A200" s="41"/>
      <c r="B200" s="41"/>
      <c r="C200" s="41"/>
      <c r="D200" s="41"/>
      <c r="E200" s="41"/>
      <c r="F200" s="83"/>
      <c r="G200" s="41"/>
      <c r="H200" s="48"/>
      <c r="I200" s="48"/>
      <c r="J200" s="41" t="str">
        <f t="shared" si="6"/>
        <v/>
      </c>
      <c r="K200" s="98" t="str">
        <f t="shared" si="7"/>
        <v/>
      </c>
      <c r="L200" s="40" t="str">
        <f t="shared" si="8"/>
        <v/>
      </c>
    </row>
    <row r="201" spans="1:12" x14ac:dyDescent="0.25">
      <c r="A201" s="41"/>
      <c r="B201" s="41"/>
      <c r="C201" s="41"/>
      <c r="D201" s="41"/>
      <c r="E201" s="41"/>
      <c r="F201" s="83"/>
      <c r="G201" s="41"/>
      <c r="H201" s="48"/>
      <c r="I201" s="48"/>
      <c r="J201" s="41" t="str">
        <f t="shared" si="6"/>
        <v/>
      </c>
      <c r="K201" s="98" t="str">
        <f t="shared" si="7"/>
        <v/>
      </c>
      <c r="L201" s="40" t="str">
        <f t="shared" si="8"/>
        <v/>
      </c>
    </row>
    <row r="202" spans="1:12" x14ac:dyDescent="0.25">
      <c r="A202" s="41"/>
      <c r="B202" s="41"/>
      <c r="C202" s="41"/>
      <c r="D202" s="41"/>
      <c r="E202" s="41"/>
      <c r="F202" s="83"/>
      <c r="G202" s="41"/>
      <c r="H202" s="48"/>
      <c r="I202" s="48"/>
      <c r="J202" s="41" t="str">
        <f t="shared" ref="J202:J265" si="9">IFERROR(IF(NOT(ISNUMBER(H202)),"",IF(I202="","ABSENT/NO-SUBMISSION",IF(I202&lt;K202,"No Improvement, Previous marks be assigned.", "Marks Improved"))),"")</f>
        <v/>
      </c>
      <c r="K202" s="98" t="str">
        <f t="shared" ref="K202:K265" si="10">IFERROR(VALUE(MID(F202,6,FIND("%",F202)-6))*H202/100,"")</f>
        <v/>
      </c>
      <c r="L202" s="40" t="str">
        <f t="shared" ref="L202:L265" si="11">IF(AND(G202&lt;&gt;"REPEAT COARSE",A202&lt;&gt;""),"CASE#"&amp; A202&amp;": "&amp;"It is to Inform that you have failed "&amp;E202&amp;" due to "&amp;F202&amp;" percentages. You are required to "&amp;VLOOKUP(G202,$AA$1:$AD$30,2,FALSE) &amp;" " &amp;G202&amp;VLOOKUP(G202,$AA$1:$AD$30,3,FALSE),IF(A202&lt;&gt;"","CASE#"&amp; A202&amp;": "&amp;"It is to Inform that you have failed "&amp;E202&amp;" due to "&amp;F202&amp;" percentages. You are required to  "&amp;G202&amp;" next time if you are interested to imporve this CLO.",""))</f>
        <v/>
      </c>
    </row>
    <row r="203" spans="1:12" x14ac:dyDescent="0.25">
      <c r="A203" s="41"/>
      <c r="B203" s="41"/>
      <c r="C203" s="41"/>
      <c r="D203" s="41"/>
      <c r="E203" s="41"/>
      <c r="F203" s="83"/>
      <c r="G203" s="41"/>
      <c r="H203" s="48"/>
      <c r="I203" s="48"/>
      <c r="J203" s="41" t="str">
        <f t="shared" si="9"/>
        <v/>
      </c>
      <c r="K203" s="98" t="str">
        <f t="shared" si="10"/>
        <v/>
      </c>
      <c r="L203" s="40" t="str">
        <f t="shared" si="11"/>
        <v/>
      </c>
    </row>
    <row r="204" spans="1:12" x14ac:dyDescent="0.25">
      <c r="A204" s="41"/>
      <c r="B204" s="41"/>
      <c r="C204" s="41"/>
      <c r="D204" s="41"/>
      <c r="E204" s="41"/>
      <c r="F204" s="83"/>
      <c r="G204" s="41"/>
      <c r="H204" s="48"/>
      <c r="I204" s="48"/>
      <c r="J204" s="41" t="str">
        <f t="shared" si="9"/>
        <v/>
      </c>
      <c r="K204" s="98" t="str">
        <f t="shared" si="10"/>
        <v/>
      </c>
      <c r="L204" s="40" t="str">
        <f t="shared" si="11"/>
        <v/>
      </c>
    </row>
    <row r="205" spans="1:12" x14ac:dyDescent="0.25">
      <c r="A205" s="41"/>
      <c r="B205" s="41"/>
      <c r="C205" s="41"/>
      <c r="D205" s="41"/>
      <c r="E205" s="41"/>
      <c r="F205" s="83"/>
      <c r="G205" s="41"/>
      <c r="H205" s="48"/>
      <c r="I205" s="48"/>
      <c r="J205" s="41" t="str">
        <f t="shared" si="9"/>
        <v/>
      </c>
      <c r="K205" s="98" t="str">
        <f t="shared" si="10"/>
        <v/>
      </c>
      <c r="L205" s="40" t="str">
        <f t="shared" si="11"/>
        <v/>
      </c>
    </row>
    <row r="206" spans="1:12" x14ac:dyDescent="0.25">
      <c r="A206" s="41"/>
      <c r="B206" s="41"/>
      <c r="C206" s="41"/>
      <c r="D206" s="41"/>
      <c r="E206" s="41"/>
      <c r="F206" s="83"/>
      <c r="G206" s="41"/>
      <c r="H206" s="48"/>
      <c r="I206" s="48"/>
      <c r="J206" s="41" t="str">
        <f t="shared" si="9"/>
        <v/>
      </c>
      <c r="K206" s="98" t="str">
        <f t="shared" si="10"/>
        <v/>
      </c>
      <c r="L206" s="40" t="str">
        <f t="shared" si="11"/>
        <v/>
      </c>
    </row>
    <row r="207" spans="1:12" x14ac:dyDescent="0.25">
      <c r="A207" s="41"/>
      <c r="B207" s="41"/>
      <c r="C207" s="41"/>
      <c r="D207" s="41"/>
      <c r="E207" s="41"/>
      <c r="F207" s="83"/>
      <c r="G207" s="41"/>
      <c r="H207" s="48"/>
      <c r="I207" s="48"/>
      <c r="J207" s="41" t="str">
        <f t="shared" si="9"/>
        <v/>
      </c>
      <c r="K207" s="98" t="str">
        <f t="shared" si="10"/>
        <v/>
      </c>
      <c r="L207" s="40" t="str">
        <f t="shared" si="11"/>
        <v/>
      </c>
    </row>
    <row r="208" spans="1:12" x14ac:dyDescent="0.25">
      <c r="A208" s="41"/>
      <c r="B208" s="41"/>
      <c r="C208" s="41"/>
      <c r="D208" s="41"/>
      <c r="E208" s="41"/>
      <c r="F208" s="83"/>
      <c r="G208" s="41"/>
      <c r="H208" s="48"/>
      <c r="I208" s="48"/>
      <c r="J208" s="41" t="str">
        <f t="shared" si="9"/>
        <v/>
      </c>
      <c r="K208" s="98" t="str">
        <f t="shared" si="10"/>
        <v/>
      </c>
      <c r="L208" s="40" t="str">
        <f t="shared" si="11"/>
        <v/>
      </c>
    </row>
    <row r="209" spans="1:12" x14ac:dyDescent="0.25">
      <c r="A209" s="41"/>
      <c r="B209" s="41"/>
      <c r="C209" s="41"/>
      <c r="D209" s="41"/>
      <c r="E209" s="41"/>
      <c r="F209" s="83"/>
      <c r="G209" s="41"/>
      <c r="H209" s="48"/>
      <c r="I209" s="48"/>
      <c r="J209" s="41" t="str">
        <f t="shared" si="9"/>
        <v/>
      </c>
      <c r="K209" s="98" t="str">
        <f t="shared" si="10"/>
        <v/>
      </c>
      <c r="L209" s="40" t="str">
        <f t="shared" si="11"/>
        <v/>
      </c>
    </row>
    <row r="210" spans="1:12" x14ac:dyDescent="0.25">
      <c r="A210" s="41"/>
      <c r="B210" s="41"/>
      <c r="C210" s="41"/>
      <c r="D210" s="41"/>
      <c r="E210" s="41"/>
      <c r="F210" s="83"/>
      <c r="G210" s="41"/>
      <c r="H210" s="48"/>
      <c r="I210" s="48"/>
      <c r="J210" s="41" t="str">
        <f t="shared" si="9"/>
        <v/>
      </c>
      <c r="K210" s="98" t="str">
        <f t="shared" si="10"/>
        <v/>
      </c>
      <c r="L210" s="40" t="str">
        <f t="shared" si="11"/>
        <v/>
      </c>
    </row>
    <row r="211" spans="1:12" x14ac:dyDescent="0.25">
      <c r="A211" s="41"/>
      <c r="B211" s="41"/>
      <c r="C211" s="41"/>
      <c r="D211" s="41"/>
      <c r="E211" s="41"/>
      <c r="F211" s="83"/>
      <c r="G211" s="41"/>
      <c r="H211" s="48"/>
      <c r="I211" s="48"/>
      <c r="J211" s="41" t="str">
        <f t="shared" si="9"/>
        <v/>
      </c>
      <c r="K211" s="98" t="str">
        <f t="shared" si="10"/>
        <v/>
      </c>
      <c r="L211" s="40" t="str">
        <f t="shared" si="11"/>
        <v/>
      </c>
    </row>
    <row r="212" spans="1:12" x14ac:dyDescent="0.25">
      <c r="A212" s="41"/>
      <c r="B212" s="41"/>
      <c r="C212" s="41"/>
      <c r="D212" s="41"/>
      <c r="E212" s="41"/>
      <c r="F212" s="83"/>
      <c r="G212" s="41"/>
      <c r="H212" s="48"/>
      <c r="I212" s="48"/>
      <c r="J212" s="41" t="str">
        <f t="shared" si="9"/>
        <v/>
      </c>
      <c r="K212" s="98" t="str">
        <f t="shared" si="10"/>
        <v/>
      </c>
      <c r="L212" s="40" t="str">
        <f t="shared" si="11"/>
        <v/>
      </c>
    </row>
    <row r="213" spans="1:12" x14ac:dyDescent="0.25">
      <c r="A213" s="41"/>
      <c r="B213" s="41"/>
      <c r="C213" s="41"/>
      <c r="D213" s="41"/>
      <c r="E213" s="41"/>
      <c r="F213" s="83"/>
      <c r="G213" s="41"/>
      <c r="H213" s="48"/>
      <c r="I213" s="48"/>
      <c r="J213" s="41" t="str">
        <f t="shared" si="9"/>
        <v/>
      </c>
      <c r="K213" s="98" t="str">
        <f t="shared" si="10"/>
        <v/>
      </c>
      <c r="L213" s="40" t="str">
        <f t="shared" si="11"/>
        <v/>
      </c>
    </row>
    <row r="214" spans="1:12" x14ac:dyDescent="0.25">
      <c r="A214" s="41"/>
      <c r="B214" s="41"/>
      <c r="C214" s="41"/>
      <c r="D214" s="41"/>
      <c r="E214" s="41"/>
      <c r="F214" s="83"/>
      <c r="G214" s="41"/>
      <c r="H214" s="48"/>
      <c r="I214" s="48"/>
      <c r="J214" s="41" t="str">
        <f t="shared" si="9"/>
        <v/>
      </c>
      <c r="K214" s="98" t="str">
        <f t="shared" si="10"/>
        <v/>
      </c>
      <c r="L214" s="40" t="str">
        <f t="shared" si="11"/>
        <v/>
      </c>
    </row>
    <row r="215" spans="1:12" x14ac:dyDescent="0.25">
      <c r="A215" s="41"/>
      <c r="B215" s="41"/>
      <c r="C215" s="41"/>
      <c r="D215" s="41"/>
      <c r="E215" s="41"/>
      <c r="F215" s="83"/>
      <c r="G215" s="41"/>
      <c r="H215" s="48"/>
      <c r="I215" s="48"/>
      <c r="J215" s="41" t="str">
        <f t="shared" si="9"/>
        <v/>
      </c>
      <c r="K215" s="98" t="str">
        <f t="shared" si="10"/>
        <v/>
      </c>
      <c r="L215" s="40" t="str">
        <f t="shared" si="11"/>
        <v/>
      </c>
    </row>
    <row r="216" spans="1:12" x14ac:dyDescent="0.25">
      <c r="A216" s="41"/>
      <c r="B216" s="41"/>
      <c r="C216" s="41"/>
      <c r="D216" s="41"/>
      <c r="E216" s="41"/>
      <c r="F216" s="83"/>
      <c r="G216" s="41"/>
      <c r="H216" s="48"/>
      <c r="I216" s="48"/>
      <c r="J216" s="41" t="str">
        <f t="shared" si="9"/>
        <v/>
      </c>
      <c r="K216" s="98" t="str">
        <f t="shared" si="10"/>
        <v/>
      </c>
      <c r="L216" s="40" t="str">
        <f t="shared" si="11"/>
        <v/>
      </c>
    </row>
    <row r="217" spans="1:12" x14ac:dyDescent="0.25">
      <c r="A217" s="41"/>
      <c r="B217" s="41"/>
      <c r="C217" s="41"/>
      <c r="D217" s="41"/>
      <c r="E217" s="41"/>
      <c r="F217" s="83"/>
      <c r="G217" s="41"/>
      <c r="H217" s="48"/>
      <c r="I217" s="48"/>
      <c r="J217" s="41" t="str">
        <f t="shared" si="9"/>
        <v/>
      </c>
      <c r="K217" s="98" t="str">
        <f t="shared" si="10"/>
        <v/>
      </c>
      <c r="L217" s="40" t="str">
        <f t="shared" si="11"/>
        <v/>
      </c>
    </row>
    <row r="218" spans="1:12" x14ac:dyDescent="0.25">
      <c r="A218" s="41"/>
      <c r="B218" s="41"/>
      <c r="C218" s="41"/>
      <c r="D218" s="41"/>
      <c r="E218" s="41"/>
      <c r="F218" s="83"/>
      <c r="G218" s="41"/>
      <c r="H218" s="48"/>
      <c r="I218" s="48"/>
      <c r="J218" s="41" t="str">
        <f t="shared" si="9"/>
        <v/>
      </c>
      <c r="K218" s="98" t="str">
        <f t="shared" si="10"/>
        <v/>
      </c>
      <c r="L218" s="40" t="str">
        <f t="shared" si="11"/>
        <v/>
      </c>
    </row>
    <row r="219" spans="1:12" x14ac:dyDescent="0.25">
      <c r="A219" s="41"/>
      <c r="B219" s="41"/>
      <c r="C219" s="41"/>
      <c r="D219" s="41"/>
      <c r="E219" s="41"/>
      <c r="F219" s="83"/>
      <c r="G219" s="41"/>
      <c r="H219" s="48"/>
      <c r="I219" s="48"/>
      <c r="J219" s="41" t="str">
        <f t="shared" si="9"/>
        <v/>
      </c>
      <c r="K219" s="98" t="str">
        <f t="shared" si="10"/>
        <v/>
      </c>
      <c r="L219" s="40" t="str">
        <f t="shared" si="11"/>
        <v/>
      </c>
    </row>
    <row r="220" spans="1:12" x14ac:dyDescent="0.25">
      <c r="A220" s="41"/>
      <c r="B220" s="41"/>
      <c r="C220" s="41"/>
      <c r="D220" s="41"/>
      <c r="E220" s="41"/>
      <c r="F220" s="83"/>
      <c r="G220" s="41"/>
      <c r="H220" s="48"/>
      <c r="I220" s="48"/>
      <c r="J220" s="41" t="str">
        <f t="shared" si="9"/>
        <v/>
      </c>
      <c r="K220" s="98" t="str">
        <f t="shared" si="10"/>
        <v/>
      </c>
      <c r="L220" s="40" t="str">
        <f t="shared" si="11"/>
        <v/>
      </c>
    </row>
    <row r="221" spans="1:12" x14ac:dyDescent="0.25">
      <c r="A221" s="41"/>
      <c r="B221" s="41"/>
      <c r="C221" s="41"/>
      <c r="D221" s="41"/>
      <c r="E221" s="41"/>
      <c r="F221" s="83"/>
      <c r="G221" s="41"/>
      <c r="H221" s="48"/>
      <c r="I221" s="48"/>
      <c r="J221" s="41" t="str">
        <f t="shared" si="9"/>
        <v/>
      </c>
      <c r="K221" s="98" t="str">
        <f t="shared" si="10"/>
        <v/>
      </c>
      <c r="L221" s="40" t="str">
        <f t="shared" si="11"/>
        <v/>
      </c>
    </row>
    <row r="222" spans="1:12" x14ac:dyDescent="0.25">
      <c r="A222" s="41"/>
      <c r="B222" s="41"/>
      <c r="C222" s="41"/>
      <c r="D222" s="41"/>
      <c r="E222" s="41"/>
      <c r="F222" s="83"/>
      <c r="G222" s="41"/>
      <c r="H222" s="48"/>
      <c r="I222" s="48"/>
      <c r="J222" s="41" t="str">
        <f t="shared" si="9"/>
        <v/>
      </c>
      <c r="K222" s="98" t="str">
        <f t="shared" si="10"/>
        <v/>
      </c>
      <c r="L222" s="40" t="str">
        <f t="shared" si="11"/>
        <v/>
      </c>
    </row>
    <row r="223" spans="1:12" x14ac:dyDescent="0.25">
      <c r="A223" s="41"/>
      <c r="B223" s="41"/>
      <c r="C223" s="41"/>
      <c r="D223" s="41"/>
      <c r="E223" s="41"/>
      <c r="F223" s="83"/>
      <c r="G223" s="41"/>
      <c r="H223" s="48"/>
      <c r="I223" s="48"/>
      <c r="J223" s="41" t="str">
        <f t="shared" si="9"/>
        <v/>
      </c>
      <c r="K223" s="98" t="str">
        <f t="shared" si="10"/>
        <v/>
      </c>
      <c r="L223" s="40" t="str">
        <f t="shared" si="11"/>
        <v/>
      </c>
    </row>
    <row r="224" spans="1:12" x14ac:dyDescent="0.25">
      <c r="A224" s="41"/>
      <c r="B224" s="41"/>
      <c r="C224" s="41"/>
      <c r="D224" s="41"/>
      <c r="E224" s="41"/>
      <c r="F224" s="83"/>
      <c r="G224" s="41"/>
      <c r="H224" s="48"/>
      <c r="I224" s="48"/>
      <c r="J224" s="41" t="str">
        <f t="shared" si="9"/>
        <v/>
      </c>
      <c r="K224" s="98" t="str">
        <f t="shared" si="10"/>
        <v/>
      </c>
      <c r="L224" s="40" t="str">
        <f t="shared" si="11"/>
        <v/>
      </c>
    </row>
    <row r="225" spans="1:12" x14ac:dyDescent="0.25">
      <c r="A225" s="41"/>
      <c r="B225" s="41"/>
      <c r="C225" s="41"/>
      <c r="D225" s="41"/>
      <c r="E225" s="41"/>
      <c r="F225" s="83"/>
      <c r="G225" s="41"/>
      <c r="H225" s="48"/>
      <c r="I225" s="48"/>
      <c r="J225" s="41" t="str">
        <f t="shared" si="9"/>
        <v/>
      </c>
      <c r="K225" s="98" t="str">
        <f t="shared" si="10"/>
        <v/>
      </c>
      <c r="L225" s="40" t="str">
        <f t="shared" si="11"/>
        <v/>
      </c>
    </row>
    <row r="226" spans="1:12" x14ac:dyDescent="0.25">
      <c r="A226" s="41"/>
      <c r="B226" s="41"/>
      <c r="C226" s="41"/>
      <c r="D226" s="41"/>
      <c r="E226" s="41"/>
      <c r="F226" s="83"/>
      <c r="G226" s="41"/>
      <c r="H226" s="48"/>
      <c r="I226" s="48"/>
      <c r="J226" s="41" t="str">
        <f t="shared" si="9"/>
        <v/>
      </c>
      <c r="K226" s="98" t="str">
        <f t="shared" si="10"/>
        <v/>
      </c>
      <c r="L226" s="40" t="str">
        <f t="shared" si="11"/>
        <v/>
      </c>
    </row>
    <row r="227" spans="1:12" x14ac:dyDescent="0.25">
      <c r="A227" s="41"/>
      <c r="B227" s="41"/>
      <c r="C227" s="41"/>
      <c r="D227" s="41"/>
      <c r="E227" s="41"/>
      <c r="F227" s="83"/>
      <c r="G227" s="41"/>
      <c r="H227" s="48"/>
      <c r="I227" s="48"/>
      <c r="J227" s="41" t="str">
        <f t="shared" si="9"/>
        <v/>
      </c>
      <c r="K227" s="98" t="str">
        <f t="shared" si="10"/>
        <v/>
      </c>
      <c r="L227" s="40" t="str">
        <f t="shared" si="11"/>
        <v/>
      </c>
    </row>
    <row r="228" spans="1:12" x14ac:dyDescent="0.25">
      <c r="A228" s="41"/>
      <c r="B228" s="41"/>
      <c r="C228" s="41"/>
      <c r="D228" s="41"/>
      <c r="E228" s="41"/>
      <c r="F228" s="83"/>
      <c r="G228" s="41"/>
      <c r="H228" s="48"/>
      <c r="I228" s="48"/>
      <c r="J228" s="41" t="str">
        <f t="shared" si="9"/>
        <v/>
      </c>
      <c r="K228" s="98" t="str">
        <f t="shared" si="10"/>
        <v/>
      </c>
      <c r="L228" s="40" t="str">
        <f t="shared" si="11"/>
        <v/>
      </c>
    </row>
    <row r="229" spans="1:12" x14ac:dyDescent="0.25">
      <c r="A229" s="41"/>
      <c r="B229" s="41"/>
      <c r="C229" s="41"/>
      <c r="D229" s="41"/>
      <c r="E229" s="41"/>
      <c r="F229" s="83"/>
      <c r="G229" s="41"/>
      <c r="H229" s="48"/>
      <c r="I229" s="48"/>
      <c r="J229" s="41" t="str">
        <f t="shared" si="9"/>
        <v/>
      </c>
      <c r="K229" s="98" t="str">
        <f t="shared" si="10"/>
        <v/>
      </c>
      <c r="L229" s="40" t="str">
        <f t="shared" si="11"/>
        <v/>
      </c>
    </row>
    <row r="230" spans="1:12" x14ac:dyDescent="0.25">
      <c r="A230" s="41"/>
      <c r="B230" s="41"/>
      <c r="C230" s="41"/>
      <c r="D230" s="41"/>
      <c r="E230" s="41"/>
      <c r="F230" s="83"/>
      <c r="G230" s="41"/>
      <c r="H230" s="48"/>
      <c r="I230" s="48"/>
      <c r="J230" s="41" t="str">
        <f t="shared" si="9"/>
        <v/>
      </c>
      <c r="K230" s="98" t="str">
        <f t="shared" si="10"/>
        <v/>
      </c>
      <c r="L230" s="40" t="str">
        <f t="shared" si="11"/>
        <v/>
      </c>
    </row>
    <row r="231" spans="1:12" x14ac:dyDescent="0.25">
      <c r="A231" s="41"/>
      <c r="B231" s="41"/>
      <c r="C231" s="41"/>
      <c r="D231" s="41"/>
      <c r="E231" s="41"/>
      <c r="F231" s="83"/>
      <c r="G231" s="41"/>
      <c r="H231" s="48"/>
      <c r="I231" s="48"/>
      <c r="J231" s="41" t="str">
        <f t="shared" si="9"/>
        <v/>
      </c>
      <c r="K231" s="98" t="str">
        <f t="shared" si="10"/>
        <v/>
      </c>
      <c r="L231" s="40" t="str">
        <f t="shared" si="11"/>
        <v/>
      </c>
    </row>
    <row r="232" spans="1:12" x14ac:dyDescent="0.25">
      <c r="A232" s="41"/>
      <c r="B232" s="41"/>
      <c r="C232" s="41"/>
      <c r="D232" s="41"/>
      <c r="E232" s="41"/>
      <c r="F232" s="83"/>
      <c r="G232" s="41"/>
      <c r="H232" s="48"/>
      <c r="I232" s="48"/>
      <c r="J232" s="41" t="str">
        <f t="shared" si="9"/>
        <v/>
      </c>
      <c r="K232" s="98" t="str">
        <f t="shared" si="10"/>
        <v/>
      </c>
      <c r="L232" s="40" t="str">
        <f t="shared" si="11"/>
        <v/>
      </c>
    </row>
    <row r="233" spans="1:12" x14ac:dyDescent="0.25">
      <c r="A233" s="41"/>
      <c r="B233" s="41"/>
      <c r="C233" s="41"/>
      <c r="D233" s="41"/>
      <c r="E233" s="41"/>
      <c r="F233" s="83"/>
      <c r="G233" s="41"/>
      <c r="H233" s="48"/>
      <c r="I233" s="48"/>
      <c r="J233" s="41" t="str">
        <f t="shared" si="9"/>
        <v/>
      </c>
      <c r="K233" s="98" t="str">
        <f t="shared" si="10"/>
        <v/>
      </c>
      <c r="L233" s="40" t="str">
        <f t="shared" si="11"/>
        <v/>
      </c>
    </row>
    <row r="234" spans="1:12" x14ac:dyDescent="0.25">
      <c r="A234" s="41"/>
      <c r="B234" s="41"/>
      <c r="C234" s="41"/>
      <c r="D234" s="41"/>
      <c r="E234" s="41"/>
      <c r="F234" s="83"/>
      <c r="G234" s="41"/>
      <c r="H234" s="48"/>
      <c r="I234" s="48"/>
      <c r="J234" s="41" t="str">
        <f t="shared" si="9"/>
        <v/>
      </c>
      <c r="K234" s="98" t="str">
        <f t="shared" si="10"/>
        <v/>
      </c>
      <c r="L234" s="40" t="str">
        <f t="shared" si="11"/>
        <v/>
      </c>
    </row>
    <row r="235" spans="1:12" x14ac:dyDescent="0.25">
      <c r="A235" s="41"/>
      <c r="B235" s="41"/>
      <c r="C235" s="41"/>
      <c r="D235" s="41"/>
      <c r="E235" s="41"/>
      <c r="F235" s="83"/>
      <c r="G235" s="41"/>
      <c r="H235" s="48"/>
      <c r="I235" s="48"/>
      <c r="J235" s="41" t="str">
        <f t="shared" si="9"/>
        <v/>
      </c>
      <c r="K235" s="98" t="str">
        <f t="shared" si="10"/>
        <v/>
      </c>
      <c r="L235" s="40" t="str">
        <f t="shared" si="11"/>
        <v/>
      </c>
    </row>
    <row r="236" spans="1:12" x14ac:dyDescent="0.25">
      <c r="A236" s="41"/>
      <c r="B236" s="41"/>
      <c r="C236" s="41"/>
      <c r="D236" s="41"/>
      <c r="E236" s="41"/>
      <c r="F236" s="83"/>
      <c r="G236" s="41"/>
      <c r="H236" s="48"/>
      <c r="I236" s="48"/>
      <c r="J236" s="41" t="str">
        <f t="shared" si="9"/>
        <v/>
      </c>
      <c r="K236" s="98" t="str">
        <f t="shared" si="10"/>
        <v/>
      </c>
      <c r="L236" s="40" t="str">
        <f t="shared" si="11"/>
        <v/>
      </c>
    </row>
    <row r="237" spans="1:12" x14ac:dyDescent="0.25">
      <c r="A237" s="41"/>
      <c r="B237" s="41"/>
      <c r="C237" s="41"/>
      <c r="D237" s="41"/>
      <c r="E237" s="41"/>
      <c r="F237" s="83"/>
      <c r="G237" s="41"/>
      <c r="H237" s="48"/>
      <c r="I237" s="48"/>
      <c r="J237" s="41" t="str">
        <f t="shared" si="9"/>
        <v/>
      </c>
      <c r="K237" s="98" t="str">
        <f t="shared" si="10"/>
        <v/>
      </c>
      <c r="L237" s="40" t="str">
        <f t="shared" si="11"/>
        <v/>
      </c>
    </row>
    <row r="238" spans="1:12" x14ac:dyDescent="0.25">
      <c r="A238" s="41"/>
      <c r="B238" s="41"/>
      <c r="C238" s="41"/>
      <c r="D238" s="41"/>
      <c r="E238" s="41"/>
      <c r="F238" s="83"/>
      <c r="G238" s="41"/>
      <c r="H238" s="48"/>
      <c r="I238" s="48"/>
      <c r="J238" s="41" t="str">
        <f t="shared" si="9"/>
        <v/>
      </c>
      <c r="K238" s="98" t="str">
        <f t="shared" si="10"/>
        <v/>
      </c>
      <c r="L238" s="40" t="str">
        <f t="shared" si="11"/>
        <v/>
      </c>
    </row>
    <row r="239" spans="1:12" x14ac:dyDescent="0.25">
      <c r="A239" s="41"/>
      <c r="B239" s="41"/>
      <c r="C239" s="41"/>
      <c r="D239" s="41"/>
      <c r="E239" s="41"/>
      <c r="F239" s="83"/>
      <c r="G239" s="41"/>
      <c r="H239" s="48"/>
      <c r="I239" s="48"/>
      <c r="J239" s="41" t="str">
        <f t="shared" si="9"/>
        <v/>
      </c>
      <c r="K239" s="98" t="str">
        <f t="shared" si="10"/>
        <v/>
      </c>
      <c r="L239" s="40" t="str">
        <f t="shared" si="11"/>
        <v/>
      </c>
    </row>
    <row r="240" spans="1:12" x14ac:dyDescent="0.25">
      <c r="A240" s="41"/>
      <c r="B240" s="41"/>
      <c r="C240" s="41"/>
      <c r="D240" s="41"/>
      <c r="E240" s="41"/>
      <c r="F240" s="83"/>
      <c r="G240" s="41"/>
      <c r="H240" s="48"/>
      <c r="I240" s="48"/>
      <c r="J240" s="41" t="str">
        <f t="shared" si="9"/>
        <v/>
      </c>
      <c r="K240" s="98" t="str">
        <f t="shared" si="10"/>
        <v/>
      </c>
      <c r="L240" s="40" t="str">
        <f t="shared" si="11"/>
        <v/>
      </c>
    </row>
    <row r="241" spans="1:12" x14ac:dyDescent="0.25">
      <c r="A241" s="41"/>
      <c r="B241" s="41"/>
      <c r="C241" s="41"/>
      <c r="D241" s="41"/>
      <c r="E241" s="41"/>
      <c r="F241" s="83"/>
      <c r="G241" s="41"/>
      <c r="H241" s="48"/>
      <c r="I241" s="48"/>
      <c r="J241" s="41" t="str">
        <f t="shared" si="9"/>
        <v/>
      </c>
      <c r="K241" s="98" t="str">
        <f t="shared" si="10"/>
        <v/>
      </c>
      <c r="L241" s="40" t="str">
        <f t="shared" si="11"/>
        <v/>
      </c>
    </row>
    <row r="242" spans="1:12" x14ac:dyDescent="0.25">
      <c r="A242" s="41"/>
      <c r="B242" s="41"/>
      <c r="C242" s="41"/>
      <c r="D242" s="41"/>
      <c r="E242" s="41"/>
      <c r="F242" s="83"/>
      <c r="G242" s="41"/>
      <c r="H242" s="48"/>
      <c r="I242" s="48"/>
      <c r="J242" s="41" t="str">
        <f t="shared" si="9"/>
        <v/>
      </c>
      <c r="K242" s="98" t="str">
        <f t="shared" si="10"/>
        <v/>
      </c>
      <c r="L242" s="40" t="str">
        <f t="shared" si="11"/>
        <v/>
      </c>
    </row>
    <row r="243" spans="1:12" x14ac:dyDescent="0.25">
      <c r="A243" s="41"/>
      <c r="B243" s="41"/>
      <c r="C243" s="41"/>
      <c r="D243" s="41"/>
      <c r="E243" s="41"/>
      <c r="F243" s="83"/>
      <c r="G243" s="41"/>
      <c r="H243" s="48"/>
      <c r="I243" s="48"/>
      <c r="J243" s="41" t="str">
        <f t="shared" si="9"/>
        <v/>
      </c>
      <c r="K243" s="98" t="str">
        <f t="shared" si="10"/>
        <v/>
      </c>
      <c r="L243" s="40" t="str">
        <f t="shared" si="11"/>
        <v/>
      </c>
    </row>
    <row r="244" spans="1:12" x14ac:dyDescent="0.25">
      <c r="A244" s="41"/>
      <c r="B244" s="41"/>
      <c r="C244" s="41"/>
      <c r="D244" s="41"/>
      <c r="E244" s="41"/>
      <c r="F244" s="83"/>
      <c r="G244" s="41"/>
      <c r="H244" s="48"/>
      <c r="I244" s="48"/>
      <c r="J244" s="41" t="str">
        <f t="shared" si="9"/>
        <v/>
      </c>
      <c r="K244" s="98" t="str">
        <f t="shared" si="10"/>
        <v/>
      </c>
      <c r="L244" s="40" t="str">
        <f t="shared" si="11"/>
        <v/>
      </c>
    </row>
    <row r="245" spans="1:12" x14ac:dyDescent="0.25">
      <c r="A245" s="41"/>
      <c r="B245" s="41"/>
      <c r="C245" s="41"/>
      <c r="D245" s="41"/>
      <c r="E245" s="41"/>
      <c r="F245" s="83"/>
      <c r="G245" s="41"/>
      <c r="H245" s="48"/>
      <c r="I245" s="48"/>
      <c r="J245" s="41" t="str">
        <f t="shared" si="9"/>
        <v/>
      </c>
      <c r="K245" s="98" t="str">
        <f t="shared" si="10"/>
        <v/>
      </c>
      <c r="L245" s="40" t="str">
        <f t="shared" si="11"/>
        <v/>
      </c>
    </row>
    <row r="246" spans="1:12" x14ac:dyDescent="0.25">
      <c r="A246" s="41"/>
      <c r="B246" s="41"/>
      <c r="C246" s="41"/>
      <c r="D246" s="41"/>
      <c r="E246" s="41"/>
      <c r="F246" s="83"/>
      <c r="G246" s="41"/>
      <c r="H246" s="48"/>
      <c r="I246" s="48"/>
      <c r="J246" s="41" t="str">
        <f t="shared" si="9"/>
        <v/>
      </c>
      <c r="K246" s="98" t="str">
        <f t="shared" si="10"/>
        <v/>
      </c>
      <c r="L246" s="40" t="str">
        <f t="shared" si="11"/>
        <v/>
      </c>
    </row>
    <row r="247" spans="1:12" x14ac:dyDescent="0.25">
      <c r="A247" s="41"/>
      <c r="B247" s="41"/>
      <c r="C247" s="41"/>
      <c r="D247" s="41"/>
      <c r="E247" s="41"/>
      <c r="F247" s="83"/>
      <c r="G247" s="41"/>
      <c r="H247" s="48"/>
      <c r="I247" s="48"/>
      <c r="J247" s="41" t="str">
        <f t="shared" si="9"/>
        <v/>
      </c>
      <c r="K247" s="98" t="str">
        <f t="shared" si="10"/>
        <v/>
      </c>
      <c r="L247" s="40" t="str">
        <f t="shared" si="11"/>
        <v/>
      </c>
    </row>
    <row r="248" spans="1:12" x14ac:dyDescent="0.25">
      <c r="A248" s="41"/>
      <c r="B248" s="41"/>
      <c r="C248" s="41"/>
      <c r="D248" s="41"/>
      <c r="E248" s="41"/>
      <c r="F248" s="83"/>
      <c r="G248" s="41"/>
      <c r="H248" s="48"/>
      <c r="I248" s="48"/>
      <c r="J248" s="41" t="str">
        <f t="shared" si="9"/>
        <v/>
      </c>
      <c r="K248" s="98" t="str">
        <f t="shared" si="10"/>
        <v/>
      </c>
      <c r="L248" s="40" t="str">
        <f t="shared" si="11"/>
        <v/>
      </c>
    </row>
    <row r="249" spans="1:12" x14ac:dyDescent="0.25">
      <c r="A249" s="41"/>
      <c r="B249" s="41"/>
      <c r="C249" s="41"/>
      <c r="D249" s="41"/>
      <c r="E249" s="41"/>
      <c r="F249" s="83"/>
      <c r="G249" s="41"/>
      <c r="H249" s="48"/>
      <c r="I249" s="48"/>
      <c r="J249" s="41" t="str">
        <f t="shared" si="9"/>
        <v/>
      </c>
      <c r="K249" s="98" t="str">
        <f t="shared" si="10"/>
        <v/>
      </c>
      <c r="L249" s="40" t="str">
        <f t="shared" si="11"/>
        <v/>
      </c>
    </row>
    <row r="250" spans="1:12" x14ac:dyDescent="0.25">
      <c r="A250" s="41"/>
      <c r="B250" s="41"/>
      <c r="C250" s="41"/>
      <c r="D250" s="41"/>
      <c r="E250" s="41"/>
      <c r="F250" s="83"/>
      <c r="G250" s="41"/>
      <c r="H250" s="48"/>
      <c r="I250" s="48"/>
      <c r="J250" s="41" t="str">
        <f t="shared" si="9"/>
        <v/>
      </c>
      <c r="K250" s="98" t="str">
        <f t="shared" si="10"/>
        <v/>
      </c>
      <c r="L250" s="40" t="str">
        <f t="shared" si="11"/>
        <v/>
      </c>
    </row>
    <row r="251" spans="1:12" x14ac:dyDescent="0.25">
      <c r="A251" s="41"/>
      <c r="B251" s="41"/>
      <c r="C251" s="41"/>
      <c r="D251" s="41"/>
      <c r="E251" s="41"/>
      <c r="F251" s="83"/>
      <c r="G251" s="41"/>
      <c r="H251" s="48"/>
      <c r="I251" s="48"/>
      <c r="J251" s="41" t="str">
        <f t="shared" si="9"/>
        <v/>
      </c>
      <c r="K251" s="98" t="str">
        <f t="shared" si="10"/>
        <v/>
      </c>
      <c r="L251" s="40" t="str">
        <f t="shared" si="11"/>
        <v/>
      </c>
    </row>
    <row r="252" spans="1:12" x14ac:dyDescent="0.25">
      <c r="A252" s="41"/>
      <c r="B252" s="41"/>
      <c r="C252" s="41"/>
      <c r="D252" s="41"/>
      <c r="E252" s="41"/>
      <c r="F252" s="83"/>
      <c r="G252" s="41"/>
      <c r="H252" s="48"/>
      <c r="I252" s="48"/>
      <c r="J252" s="41" t="str">
        <f t="shared" si="9"/>
        <v/>
      </c>
      <c r="K252" s="98" t="str">
        <f t="shared" si="10"/>
        <v/>
      </c>
      <c r="L252" s="40" t="str">
        <f t="shared" si="11"/>
        <v/>
      </c>
    </row>
    <row r="253" spans="1:12" x14ac:dyDescent="0.25">
      <c r="A253" s="41"/>
      <c r="B253" s="41"/>
      <c r="C253" s="41"/>
      <c r="D253" s="41"/>
      <c r="E253" s="41"/>
      <c r="F253" s="83"/>
      <c r="G253" s="41"/>
      <c r="H253" s="48"/>
      <c r="I253" s="48"/>
      <c r="J253" s="41" t="str">
        <f t="shared" si="9"/>
        <v/>
      </c>
      <c r="K253" s="98" t="str">
        <f t="shared" si="10"/>
        <v/>
      </c>
      <c r="L253" s="40" t="str">
        <f t="shared" si="11"/>
        <v/>
      </c>
    </row>
    <row r="254" spans="1:12" x14ac:dyDescent="0.25">
      <c r="A254" s="41"/>
      <c r="B254" s="41"/>
      <c r="C254" s="41"/>
      <c r="D254" s="41"/>
      <c r="E254" s="41"/>
      <c r="F254" s="83"/>
      <c r="G254" s="41"/>
      <c r="H254" s="48"/>
      <c r="I254" s="48"/>
      <c r="J254" s="41" t="str">
        <f t="shared" si="9"/>
        <v/>
      </c>
      <c r="K254" s="98" t="str">
        <f t="shared" si="10"/>
        <v/>
      </c>
      <c r="L254" s="40" t="str">
        <f t="shared" si="11"/>
        <v/>
      </c>
    </row>
    <row r="255" spans="1:12" x14ac:dyDescent="0.25">
      <c r="A255" s="41"/>
      <c r="B255" s="41"/>
      <c r="C255" s="41"/>
      <c r="D255" s="41"/>
      <c r="E255" s="41"/>
      <c r="F255" s="83"/>
      <c r="G255" s="41"/>
      <c r="H255" s="48"/>
      <c r="I255" s="48"/>
      <c r="J255" s="41" t="str">
        <f t="shared" si="9"/>
        <v/>
      </c>
      <c r="K255" s="98" t="str">
        <f t="shared" si="10"/>
        <v/>
      </c>
      <c r="L255" s="40" t="str">
        <f t="shared" si="11"/>
        <v/>
      </c>
    </row>
    <row r="256" spans="1:12" x14ac:dyDescent="0.25">
      <c r="A256" s="41"/>
      <c r="B256" s="41"/>
      <c r="C256" s="41"/>
      <c r="D256" s="41"/>
      <c r="E256" s="41"/>
      <c r="F256" s="83"/>
      <c r="G256" s="41"/>
      <c r="H256" s="48"/>
      <c r="I256" s="48"/>
      <c r="J256" s="41" t="str">
        <f t="shared" si="9"/>
        <v/>
      </c>
      <c r="K256" s="98" t="str">
        <f t="shared" si="10"/>
        <v/>
      </c>
      <c r="L256" s="40" t="str">
        <f t="shared" si="11"/>
        <v/>
      </c>
    </row>
    <row r="257" spans="1:12" x14ac:dyDescent="0.25">
      <c r="A257" s="41"/>
      <c r="B257" s="41"/>
      <c r="C257" s="41"/>
      <c r="D257" s="41"/>
      <c r="E257" s="41"/>
      <c r="F257" s="83"/>
      <c r="G257" s="41"/>
      <c r="H257" s="48"/>
      <c r="I257" s="48"/>
      <c r="J257" s="41" t="str">
        <f t="shared" si="9"/>
        <v/>
      </c>
      <c r="K257" s="98" t="str">
        <f t="shared" si="10"/>
        <v/>
      </c>
      <c r="L257" s="40" t="str">
        <f t="shared" si="11"/>
        <v/>
      </c>
    </row>
    <row r="258" spans="1:12" x14ac:dyDescent="0.25">
      <c r="A258" s="41"/>
      <c r="B258" s="41"/>
      <c r="C258" s="41"/>
      <c r="D258" s="41"/>
      <c r="E258" s="41"/>
      <c r="F258" s="83"/>
      <c r="G258" s="41"/>
      <c r="H258" s="48"/>
      <c r="I258" s="48"/>
      <c r="J258" s="41" t="str">
        <f t="shared" si="9"/>
        <v/>
      </c>
      <c r="K258" s="98" t="str">
        <f t="shared" si="10"/>
        <v/>
      </c>
      <c r="L258" s="40" t="str">
        <f t="shared" si="11"/>
        <v/>
      </c>
    </row>
    <row r="259" spans="1:12" x14ac:dyDescent="0.25">
      <c r="A259" s="41"/>
      <c r="B259" s="41"/>
      <c r="C259" s="41"/>
      <c r="D259" s="41"/>
      <c r="E259" s="41"/>
      <c r="F259" s="83"/>
      <c r="G259" s="41"/>
      <c r="H259" s="48"/>
      <c r="I259" s="48"/>
      <c r="J259" s="41" t="str">
        <f t="shared" si="9"/>
        <v/>
      </c>
      <c r="K259" s="98" t="str">
        <f t="shared" si="10"/>
        <v/>
      </c>
      <c r="L259" s="40" t="str">
        <f t="shared" si="11"/>
        <v/>
      </c>
    </row>
    <row r="260" spans="1:12" x14ac:dyDescent="0.25">
      <c r="A260" s="41"/>
      <c r="B260" s="41"/>
      <c r="C260" s="41"/>
      <c r="D260" s="41"/>
      <c r="E260" s="41"/>
      <c r="F260" s="83"/>
      <c r="G260" s="41"/>
      <c r="H260" s="48"/>
      <c r="I260" s="48"/>
      <c r="J260" s="41" t="str">
        <f t="shared" si="9"/>
        <v/>
      </c>
      <c r="K260" s="98" t="str">
        <f t="shared" si="10"/>
        <v/>
      </c>
      <c r="L260" s="40" t="str">
        <f t="shared" si="11"/>
        <v/>
      </c>
    </row>
    <row r="261" spans="1:12" x14ac:dyDescent="0.25">
      <c r="A261" s="41"/>
      <c r="B261" s="41"/>
      <c r="C261" s="41"/>
      <c r="D261" s="41"/>
      <c r="E261" s="41"/>
      <c r="F261" s="83"/>
      <c r="G261" s="41"/>
      <c r="H261" s="48"/>
      <c r="I261" s="48"/>
      <c r="J261" s="41" t="str">
        <f t="shared" si="9"/>
        <v/>
      </c>
      <c r="K261" s="98" t="str">
        <f t="shared" si="10"/>
        <v/>
      </c>
      <c r="L261" s="40" t="str">
        <f t="shared" si="11"/>
        <v/>
      </c>
    </row>
    <row r="262" spans="1:12" x14ac:dyDescent="0.25">
      <c r="A262" s="41"/>
      <c r="B262" s="41"/>
      <c r="C262" s="41"/>
      <c r="D262" s="41"/>
      <c r="E262" s="41"/>
      <c r="F262" s="83"/>
      <c r="G262" s="41"/>
      <c r="H262" s="48"/>
      <c r="I262" s="48"/>
      <c r="J262" s="41" t="str">
        <f t="shared" si="9"/>
        <v/>
      </c>
      <c r="K262" s="98" t="str">
        <f t="shared" si="10"/>
        <v/>
      </c>
      <c r="L262" s="40" t="str">
        <f t="shared" si="11"/>
        <v/>
      </c>
    </row>
    <row r="263" spans="1:12" x14ac:dyDescent="0.25">
      <c r="A263" s="41"/>
      <c r="B263" s="41"/>
      <c r="C263" s="41"/>
      <c r="D263" s="41"/>
      <c r="E263" s="41"/>
      <c r="F263" s="83"/>
      <c r="G263" s="41"/>
      <c r="H263" s="48"/>
      <c r="I263" s="48"/>
      <c r="J263" s="41" t="str">
        <f t="shared" si="9"/>
        <v/>
      </c>
      <c r="K263" s="98" t="str">
        <f t="shared" si="10"/>
        <v/>
      </c>
      <c r="L263" s="40" t="str">
        <f t="shared" si="11"/>
        <v/>
      </c>
    </row>
    <row r="264" spans="1:12" x14ac:dyDescent="0.25">
      <c r="A264" s="41"/>
      <c r="B264" s="41"/>
      <c r="C264" s="41"/>
      <c r="D264" s="41"/>
      <c r="E264" s="41"/>
      <c r="F264" s="83"/>
      <c r="G264" s="41"/>
      <c r="H264" s="48"/>
      <c r="I264" s="48"/>
      <c r="J264" s="41" t="str">
        <f t="shared" si="9"/>
        <v/>
      </c>
      <c r="K264" s="98" t="str">
        <f t="shared" si="10"/>
        <v/>
      </c>
      <c r="L264" s="40" t="str">
        <f t="shared" si="11"/>
        <v/>
      </c>
    </row>
    <row r="265" spans="1:12" x14ac:dyDescent="0.25">
      <c r="A265" s="41"/>
      <c r="B265" s="41"/>
      <c r="C265" s="41"/>
      <c r="D265" s="41"/>
      <c r="E265" s="41"/>
      <c r="F265" s="83"/>
      <c r="G265" s="41"/>
      <c r="H265" s="48"/>
      <c r="I265" s="48"/>
      <c r="J265" s="41" t="str">
        <f t="shared" si="9"/>
        <v/>
      </c>
      <c r="K265" s="98" t="str">
        <f t="shared" si="10"/>
        <v/>
      </c>
      <c r="L265" s="40" t="str">
        <f t="shared" si="11"/>
        <v/>
      </c>
    </row>
    <row r="266" spans="1:12" x14ac:dyDescent="0.25">
      <c r="A266" s="41"/>
      <c r="B266" s="41"/>
      <c r="C266" s="41"/>
      <c r="D266" s="41"/>
      <c r="E266" s="41"/>
      <c r="F266" s="83"/>
      <c r="G266" s="41"/>
      <c r="H266" s="48"/>
      <c r="I266" s="48"/>
      <c r="J266" s="41" t="str">
        <f t="shared" ref="J266:J329" si="12">IFERROR(IF(NOT(ISNUMBER(H266)),"",IF(I266="","ABSENT/NO-SUBMISSION",IF(I266&lt;K266,"No Improvement, Previous marks be assigned.", "Marks Improved"))),"")</f>
        <v/>
      </c>
      <c r="K266" s="98" t="str">
        <f t="shared" ref="K266:K329" si="13">IFERROR(VALUE(MID(F266,6,FIND("%",F266)-6))*H266/100,"")</f>
        <v/>
      </c>
      <c r="L266" s="40" t="str">
        <f t="shared" ref="L266:L329" si="14">IF(AND(G266&lt;&gt;"REPEAT COARSE",A266&lt;&gt;""),"CASE#"&amp; A266&amp;": "&amp;"It is to Inform that you have failed "&amp;E266&amp;" due to "&amp;F266&amp;" percentages. You are required to "&amp;VLOOKUP(G266,$AA$1:$AD$30,2,FALSE) &amp;" " &amp;G266&amp;VLOOKUP(G266,$AA$1:$AD$30,3,FALSE),IF(A266&lt;&gt;"","CASE#"&amp; A266&amp;": "&amp;"It is to Inform that you have failed "&amp;E266&amp;" due to "&amp;F266&amp;" percentages. You are required to  "&amp;G266&amp;" next time if you are interested to imporve this CLO.",""))</f>
        <v/>
      </c>
    </row>
    <row r="267" spans="1:12" x14ac:dyDescent="0.25">
      <c r="A267" s="41"/>
      <c r="B267" s="41"/>
      <c r="C267" s="41"/>
      <c r="D267" s="41"/>
      <c r="E267" s="41"/>
      <c r="F267" s="83"/>
      <c r="G267" s="41"/>
      <c r="H267" s="48"/>
      <c r="I267" s="48"/>
      <c r="J267" s="41" t="str">
        <f t="shared" si="12"/>
        <v/>
      </c>
      <c r="K267" s="98" t="str">
        <f t="shared" si="13"/>
        <v/>
      </c>
      <c r="L267" s="40" t="str">
        <f t="shared" si="14"/>
        <v/>
      </c>
    </row>
    <row r="268" spans="1:12" x14ac:dyDescent="0.25">
      <c r="A268" s="41"/>
      <c r="B268" s="41"/>
      <c r="C268" s="41"/>
      <c r="D268" s="41"/>
      <c r="E268" s="41"/>
      <c r="F268" s="83"/>
      <c r="G268" s="41"/>
      <c r="H268" s="48"/>
      <c r="I268" s="48"/>
      <c r="J268" s="41" t="str">
        <f t="shared" si="12"/>
        <v/>
      </c>
      <c r="K268" s="98" t="str">
        <f t="shared" si="13"/>
        <v/>
      </c>
      <c r="L268" s="40" t="str">
        <f t="shared" si="14"/>
        <v/>
      </c>
    </row>
    <row r="269" spans="1:12" x14ac:dyDescent="0.25">
      <c r="A269" s="41"/>
      <c r="B269" s="41"/>
      <c r="C269" s="41"/>
      <c r="D269" s="41"/>
      <c r="E269" s="41"/>
      <c r="F269" s="83"/>
      <c r="G269" s="41"/>
      <c r="H269" s="48"/>
      <c r="I269" s="48"/>
      <c r="J269" s="41" t="str">
        <f t="shared" si="12"/>
        <v/>
      </c>
      <c r="K269" s="98" t="str">
        <f t="shared" si="13"/>
        <v/>
      </c>
      <c r="L269" s="40" t="str">
        <f t="shared" si="14"/>
        <v/>
      </c>
    </row>
    <row r="270" spans="1:12" x14ac:dyDescent="0.25">
      <c r="A270" s="41"/>
      <c r="B270" s="41"/>
      <c r="C270" s="41"/>
      <c r="D270" s="41"/>
      <c r="E270" s="41"/>
      <c r="F270" s="83"/>
      <c r="G270" s="41"/>
      <c r="H270" s="48"/>
      <c r="I270" s="48"/>
      <c r="J270" s="41" t="str">
        <f t="shared" si="12"/>
        <v/>
      </c>
      <c r="K270" s="98" t="str">
        <f t="shared" si="13"/>
        <v/>
      </c>
      <c r="L270" s="40" t="str">
        <f t="shared" si="14"/>
        <v/>
      </c>
    </row>
    <row r="271" spans="1:12" x14ac:dyDescent="0.25">
      <c r="A271" s="41"/>
      <c r="B271" s="41"/>
      <c r="C271" s="41"/>
      <c r="D271" s="41"/>
      <c r="E271" s="41"/>
      <c r="F271" s="83"/>
      <c r="G271" s="41"/>
      <c r="H271" s="48"/>
      <c r="I271" s="48"/>
      <c r="J271" s="41" t="str">
        <f t="shared" si="12"/>
        <v/>
      </c>
      <c r="K271" s="98" t="str">
        <f t="shared" si="13"/>
        <v/>
      </c>
      <c r="L271" s="40" t="str">
        <f t="shared" si="14"/>
        <v/>
      </c>
    </row>
    <row r="272" spans="1:12" x14ac:dyDescent="0.25">
      <c r="A272" s="41"/>
      <c r="B272" s="41"/>
      <c r="C272" s="41"/>
      <c r="D272" s="41"/>
      <c r="E272" s="41"/>
      <c r="F272" s="83"/>
      <c r="G272" s="41"/>
      <c r="H272" s="48"/>
      <c r="I272" s="48"/>
      <c r="J272" s="41" t="str">
        <f t="shared" si="12"/>
        <v/>
      </c>
      <c r="K272" s="98" t="str">
        <f t="shared" si="13"/>
        <v/>
      </c>
      <c r="L272" s="40" t="str">
        <f t="shared" si="14"/>
        <v/>
      </c>
    </row>
    <row r="273" spans="1:12" x14ac:dyDescent="0.25">
      <c r="A273" s="41"/>
      <c r="B273" s="41"/>
      <c r="C273" s="41"/>
      <c r="D273" s="41"/>
      <c r="E273" s="41"/>
      <c r="F273" s="83"/>
      <c r="G273" s="41"/>
      <c r="H273" s="48"/>
      <c r="I273" s="48"/>
      <c r="J273" s="41" t="str">
        <f t="shared" si="12"/>
        <v/>
      </c>
      <c r="K273" s="98" t="str">
        <f t="shared" si="13"/>
        <v/>
      </c>
      <c r="L273" s="40" t="str">
        <f t="shared" si="14"/>
        <v/>
      </c>
    </row>
    <row r="274" spans="1:12" x14ac:dyDescent="0.25">
      <c r="A274" s="41"/>
      <c r="B274" s="41"/>
      <c r="C274" s="41"/>
      <c r="D274" s="41"/>
      <c r="E274" s="41"/>
      <c r="F274" s="83"/>
      <c r="G274" s="41"/>
      <c r="H274" s="48"/>
      <c r="I274" s="48"/>
      <c r="J274" s="41" t="str">
        <f t="shared" si="12"/>
        <v/>
      </c>
      <c r="K274" s="98" t="str">
        <f t="shared" si="13"/>
        <v/>
      </c>
      <c r="L274" s="40" t="str">
        <f t="shared" si="14"/>
        <v/>
      </c>
    </row>
    <row r="275" spans="1:12" x14ac:dyDescent="0.25">
      <c r="A275" s="41"/>
      <c r="B275" s="41"/>
      <c r="C275" s="41"/>
      <c r="D275" s="41"/>
      <c r="E275" s="41"/>
      <c r="F275" s="83"/>
      <c r="G275" s="41"/>
      <c r="H275" s="48"/>
      <c r="I275" s="48"/>
      <c r="J275" s="41" t="str">
        <f t="shared" si="12"/>
        <v/>
      </c>
      <c r="K275" s="98" t="str">
        <f t="shared" si="13"/>
        <v/>
      </c>
      <c r="L275" s="40" t="str">
        <f t="shared" si="14"/>
        <v/>
      </c>
    </row>
    <row r="276" spans="1:12" x14ac:dyDescent="0.25">
      <c r="A276" s="41"/>
      <c r="B276" s="41"/>
      <c r="C276" s="41"/>
      <c r="D276" s="41"/>
      <c r="E276" s="41"/>
      <c r="F276" s="83"/>
      <c r="G276" s="41"/>
      <c r="H276" s="48"/>
      <c r="I276" s="48"/>
      <c r="J276" s="41" t="str">
        <f t="shared" si="12"/>
        <v/>
      </c>
      <c r="K276" s="98" t="str">
        <f t="shared" si="13"/>
        <v/>
      </c>
      <c r="L276" s="40" t="str">
        <f t="shared" si="14"/>
        <v/>
      </c>
    </row>
    <row r="277" spans="1:12" x14ac:dyDescent="0.25">
      <c r="A277" s="41"/>
      <c r="B277" s="41"/>
      <c r="C277" s="41"/>
      <c r="D277" s="41"/>
      <c r="E277" s="41"/>
      <c r="F277" s="83"/>
      <c r="G277" s="41"/>
      <c r="H277" s="48"/>
      <c r="I277" s="48"/>
      <c r="J277" s="41" t="str">
        <f t="shared" si="12"/>
        <v/>
      </c>
      <c r="K277" s="98" t="str">
        <f t="shared" si="13"/>
        <v/>
      </c>
      <c r="L277" s="40" t="str">
        <f t="shared" si="14"/>
        <v/>
      </c>
    </row>
    <row r="278" spans="1:12" x14ac:dyDescent="0.25">
      <c r="A278" s="41"/>
      <c r="B278" s="41"/>
      <c r="C278" s="41"/>
      <c r="D278" s="41"/>
      <c r="E278" s="41"/>
      <c r="F278" s="83"/>
      <c r="G278" s="41"/>
      <c r="H278" s="48"/>
      <c r="I278" s="48"/>
      <c r="J278" s="41" t="str">
        <f t="shared" si="12"/>
        <v/>
      </c>
      <c r="K278" s="98" t="str">
        <f t="shared" si="13"/>
        <v/>
      </c>
      <c r="L278" s="40" t="str">
        <f t="shared" si="14"/>
        <v/>
      </c>
    </row>
    <row r="279" spans="1:12" x14ac:dyDescent="0.25">
      <c r="A279" s="41"/>
      <c r="B279" s="41"/>
      <c r="C279" s="41"/>
      <c r="D279" s="41"/>
      <c r="E279" s="41"/>
      <c r="F279" s="83"/>
      <c r="G279" s="41"/>
      <c r="H279" s="48"/>
      <c r="I279" s="48"/>
      <c r="J279" s="41" t="str">
        <f t="shared" si="12"/>
        <v/>
      </c>
      <c r="K279" s="98" t="str">
        <f t="shared" si="13"/>
        <v/>
      </c>
      <c r="L279" s="40" t="str">
        <f t="shared" si="14"/>
        <v/>
      </c>
    </row>
    <row r="280" spans="1:12" x14ac:dyDescent="0.25">
      <c r="A280" s="41"/>
      <c r="B280" s="41"/>
      <c r="C280" s="41"/>
      <c r="D280" s="41"/>
      <c r="E280" s="41"/>
      <c r="F280" s="83"/>
      <c r="G280" s="41"/>
      <c r="H280" s="48"/>
      <c r="I280" s="48"/>
      <c r="J280" s="41" t="str">
        <f t="shared" si="12"/>
        <v/>
      </c>
      <c r="K280" s="98" t="str">
        <f t="shared" si="13"/>
        <v/>
      </c>
      <c r="L280" s="40" t="str">
        <f t="shared" si="14"/>
        <v/>
      </c>
    </row>
    <row r="281" spans="1:12" x14ac:dyDescent="0.25">
      <c r="A281" s="41"/>
      <c r="B281" s="41"/>
      <c r="C281" s="41"/>
      <c r="D281" s="41"/>
      <c r="E281" s="41"/>
      <c r="F281" s="83"/>
      <c r="G281" s="41"/>
      <c r="H281" s="48"/>
      <c r="I281" s="48"/>
      <c r="J281" s="41" t="str">
        <f t="shared" si="12"/>
        <v/>
      </c>
      <c r="K281" s="98" t="str">
        <f t="shared" si="13"/>
        <v/>
      </c>
      <c r="L281" s="40" t="str">
        <f t="shared" si="14"/>
        <v/>
      </c>
    </row>
    <row r="282" spans="1:12" x14ac:dyDescent="0.25">
      <c r="A282" s="41"/>
      <c r="B282" s="41"/>
      <c r="C282" s="41"/>
      <c r="D282" s="41"/>
      <c r="E282" s="41"/>
      <c r="F282" s="83"/>
      <c r="G282" s="41"/>
      <c r="H282" s="48"/>
      <c r="I282" s="48"/>
      <c r="J282" s="41" t="str">
        <f t="shared" si="12"/>
        <v/>
      </c>
      <c r="K282" s="98" t="str">
        <f t="shared" si="13"/>
        <v/>
      </c>
      <c r="L282" s="40" t="str">
        <f t="shared" si="14"/>
        <v/>
      </c>
    </row>
    <row r="283" spans="1:12" x14ac:dyDescent="0.25">
      <c r="A283" s="41"/>
      <c r="B283" s="41"/>
      <c r="C283" s="41"/>
      <c r="D283" s="41"/>
      <c r="E283" s="41"/>
      <c r="F283" s="83"/>
      <c r="G283" s="41"/>
      <c r="H283" s="48"/>
      <c r="I283" s="48"/>
      <c r="J283" s="41" t="str">
        <f t="shared" si="12"/>
        <v/>
      </c>
      <c r="K283" s="98" t="str">
        <f t="shared" si="13"/>
        <v/>
      </c>
      <c r="L283" s="40" t="str">
        <f t="shared" si="14"/>
        <v/>
      </c>
    </row>
    <row r="284" spans="1:12" x14ac:dyDescent="0.25">
      <c r="A284" s="41"/>
      <c r="B284" s="41"/>
      <c r="C284" s="41"/>
      <c r="D284" s="41"/>
      <c r="E284" s="41"/>
      <c r="F284" s="83"/>
      <c r="G284" s="41"/>
      <c r="H284" s="48"/>
      <c r="I284" s="48"/>
      <c r="J284" s="41" t="str">
        <f t="shared" si="12"/>
        <v/>
      </c>
      <c r="K284" s="98" t="str">
        <f t="shared" si="13"/>
        <v/>
      </c>
      <c r="L284" s="40" t="str">
        <f t="shared" si="14"/>
        <v/>
      </c>
    </row>
    <row r="285" spans="1:12" x14ac:dyDescent="0.25">
      <c r="A285" s="41"/>
      <c r="B285" s="41"/>
      <c r="C285" s="41"/>
      <c r="D285" s="41"/>
      <c r="E285" s="41"/>
      <c r="F285" s="83"/>
      <c r="G285" s="41"/>
      <c r="H285" s="48"/>
      <c r="I285" s="48"/>
      <c r="J285" s="41" t="str">
        <f t="shared" si="12"/>
        <v/>
      </c>
      <c r="K285" s="98" t="str">
        <f t="shared" si="13"/>
        <v/>
      </c>
      <c r="L285" s="40" t="str">
        <f t="shared" si="14"/>
        <v/>
      </c>
    </row>
    <row r="286" spans="1:12" x14ac:dyDescent="0.25">
      <c r="A286" s="41"/>
      <c r="B286" s="41"/>
      <c r="C286" s="41"/>
      <c r="D286" s="41"/>
      <c r="E286" s="41"/>
      <c r="F286" s="83"/>
      <c r="G286" s="41"/>
      <c r="H286" s="48"/>
      <c r="I286" s="48"/>
      <c r="J286" s="41" t="str">
        <f t="shared" si="12"/>
        <v/>
      </c>
      <c r="K286" s="98" t="str">
        <f t="shared" si="13"/>
        <v/>
      </c>
      <c r="L286" s="40" t="str">
        <f t="shared" si="14"/>
        <v/>
      </c>
    </row>
    <row r="287" spans="1:12" x14ac:dyDescent="0.25">
      <c r="A287" s="41"/>
      <c r="B287" s="41"/>
      <c r="C287" s="41"/>
      <c r="D287" s="41"/>
      <c r="E287" s="41"/>
      <c r="F287" s="83"/>
      <c r="G287" s="41"/>
      <c r="H287" s="48"/>
      <c r="I287" s="48"/>
      <c r="J287" s="41" t="str">
        <f t="shared" si="12"/>
        <v/>
      </c>
      <c r="K287" s="98" t="str">
        <f t="shared" si="13"/>
        <v/>
      </c>
      <c r="L287" s="40" t="str">
        <f t="shared" si="14"/>
        <v/>
      </c>
    </row>
    <row r="288" spans="1:12" x14ac:dyDescent="0.25">
      <c r="A288" s="41"/>
      <c r="B288" s="41"/>
      <c r="C288" s="41"/>
      <c r="D288" s="41"/>
      <c r="E288" s="41"/>
      <c r="F288" s="83"/>
      <c r="G288" s="41"/>
      <c r="H288" s="48"/>
      <c r="I288" s="48"/>
      <c r="J288" s="41" t="str">
        <f t="shared" si="12"/>
        <v/>
      </c>
      <c r="K288" s="98" t="str">
        <f t="shared" si="13"/>
        <v/>
      </c>
      <c r="L288" s="40" t="str">
        <f t="shared" si="14"/>
        <v/>
      </c>
    </row>
    <row r="289" spans="1:12" x14ac:dyDescent="0.25">
      <c r="A289" s="41"/>
      <c r="B289" s="41"/>
      <c r="C289" s="41"/>
      <c r="D289" s="41"/>
      <c r="E289" s="41"/>
      <c r="F289" s="83"/>
      <c r="G289" s="41"/>
      <c r="H289" s="48"/>
      <c r="I289" s="48"/>
      <c r="J289" s="41" t="str">
        <f t="shared" si="12"/>
        <v/>
      </c>
      <c r="K289" s="98" t="str">
        <f t="shared" si="13"/>
        <v/>
      </c>
      <c r="L289" s="40" t="str">
        <f t="shared" si="14"/>
        <v/>
      </c>
    </row>
    <row r="290" spans="1:12" x14ac:dyDescent="0.25">
      <c r="A290" s="41"/>
      <c r="B290" s="41"/>
      <c r="C290" s="41"/>
      <c r="D290" s="41"/>
      <c r="E290" s="41"/>
      <c r="F290" s="83"/>
      <c r="G290" s="41"/>
      <c r="H290" s="48"/>
      <c r="I290" s="48"/>
      <c r="J290" s="41" t="str">
        <f t="shared" si="12"/>
        <v/>
      </c>
      <c r="K290" s="98" t="str">
        <f t="shared" si="13"/>
        <v/>
      </c>
      <c r="L290" s="40" t="str">
        <f t="shared" si="14"/>
        <v/>
      </c>
    </row>
    <row r="291" spans="1:12" x14ac:dyDescent="0.25">
      <c r="A291" s="41"/>
      <c r="B291" s="41"/>
      <c r="C291" s="41"/>
      <c r="D291" s="41"/>
      <c r="E291" s="41"/>
      <c r="F291" s="83"/>
      <c r="G291" s="41"/>
      <c r="H291" s="48"/>
      <c r="I291" s="48"/>
      <c r="J291" s="41" t="str">
        <f t="shared" si="12"/>
        <v/>
      </c>
      <c r="K291" s="98" t="str">
        <f t="shared" si="13"/>
        <v/>
      </c>
      <c r="L291" s="40" t="str">
        <f t="shared" si="14"/>
        <v/>
      </c>
    </row>
    <row r="292" spans="1:12" x14ac:dyDescent="0.25">
      <c r="A292" s="41"/>
      <c r="B292" s="41"/>
      <c r="C292" s="41"/>
      <c r="D292" s="41"/>
      <c r="E292" s="41"/>
      <c r="F292" s="83"/>
      <c r="G292" s="41"/>
      <c r="H292" s="48"/>
      <c r="I292" s="48"/>
      <c r="J292" s="41" t="str">
        <f t="shared" si="12"/>
        <v/>
      </c>
      <c r="K292" s="98" t="str">
        <f t="shared" si="13"/>
        <v/>
      </c>
      <c r="L292" s="40" t="str">
        <f t="shared" si="14"/>
        <v/>
      </c>
    </row>
    <row r="293" spans="1:12" x14ac:dyDescent="0.25">
      <c r="A293" s="41"/>
      <c r="B293" s="41"/>
      <c r="C293" s="41"/>
      <c r="D293" s="41"/>
      <c r="E293" s="41"/>
      <c r="F293" s="83"/>
      <c r="G293" s="41"/>
      <c r="H293" s="48"/>
      <c r="I293" s="48"/>
      <c r="J293" s="41" t="str">
        <f t="shared" si="12"/>
        <v/>
      </c>
      <c r="K293" s="98" t="str">
        <f t="shared" si="13"/>
        <v/>
      </c>
      <c r="L293" s="40" t="str">
        <f t="shared" si="14"/>
        <v/>
      </c>
    </row>
    <row r="294" spans="1:12" x14ac:dyDescent="0.25">
      <c r="A294" s="41"/>
      <c r="B294" s="41"/>
      <c r="C294" s="41"/>
      <c r="D294" s="41"/>
      <c r="E294" s="41"/>
      <c r="F294" s="83"/>
      <c r="G294" s="41"/>
      <c r="H294" s="48"/>
      <c r="I294" s="48"/>
      <c r="J294" s="41" t="str">
        <f t="shared" si="12"/>
        <v/>
      </c>
      <c r="K294" s="98" t="str">
        <f t="shared" si="13"/>
        <v/>
      </c>
      <c r="L294" s="40" t="str">
        <f t="shared" si="14"/>
        <v/>
      </c>
    </row>
    <row r="295" spans="1:12" x14ac:dyDescent="0.25">
      <c r="A295" s="41"/>
      <c r="B295" s="41"/>
      <c r="C295" s="41"/>
      <c r="D295" s="41"/>
      <c r="E295" s="41"/>
      <c r="F295" s="83"/>
      <c r="G295" s="41"/>
      <c r="H295" s="48"/>
      <c r="I295" s="48"/>
      <c r="J295" s="41" t="str">
        <f t="shared" si="12"/>
        <v/>
      </c>
      <c r="K295" s="98" t="str">
        <f t="shared" si="13"/>
        <v/>
      </c>
      <c r="L295" s="40" t="str">
        <f t="shared" si="14"/>
        <v/>
      </c>
    </row>
    <row r="296" spans="1:12" x14ac:dyDescent="0.25">
      <c r="A296" s="41"/>
      <c r="B296" s="41"/>
      <c r="C296" s="41"/>
      <c r="D296" s="41"/>
      <c r="E296" s="41"/>
      <c r="F296" s="83"/>
      <c r="G296" s="41"/>
      <c r="H296" s="48"/>
      <c r="I296" s="48"/>
      <c r="J296" s="41" t="str">
        <f t="shared" si="12"/>
        <v/>
      </c>
      <c r="K296" s="98" t="str">
        <f t="shared" si="13"/>
        <v/>
      </c>
      <c r="L296" s="40" t="str">
        <f t="shared" si="14"/>
        <v/>
      </c>
    </row>
    <row r="297" spans="1:12" x14ac:dyDescent="0.25">
      <c r="A297" s="41"/>
      <c r="B297" s="41"/>
      <c r="C297" s="41"/>
      <c r="D297" s="41"/>
      <c r="E297" s="41"/>
      <c r="F297" s="83"/>
      <c r="G297" s="41"/>
      <c r="H297" s="48"/>
      <c r="I297" s="48"/>
      <c r="J297" s="41" t="str">
        <f t="shared" si="12"/>
        <v/>
      </c>
      <c r="K297" s="98" t="str">
        <f t="shared" si="13"/>
        <v/>
      </c>
      <c r="L297" s="40" t="str">
        <f t="shared" si="14"/>
        <v/>
      </c>
    </row>
    <row r="298" spans="1:12" x14ac:dyDescent="0.25">
      <c r="A298" s="41"/>
      <c r="B298" s="41"/>
      <c r="C298" s="41"/>
      <c r="D298" s="41"/>
      <c r="E298" s="41"/>
      <c r="F298" s="83"/>
      <c r="G298" s="41"/>
      <c r="H298" s="48"/>
      <c r="I298" s="48"/>
      <c r="J298" s="41" t="str">
        <f t="shared" si="12"/>
        <v/>
      </c>
      <c r="K298" s="98" t="str">
        <f t="shared" si="13"/>
        <v/>
      </c>
      <c r="L298" s="40" t="str">
        <f t="shared" si="14"/>
        <v/>
      </c>
    </row>
    <row r="299" spans="1:12" x14ac:dyDescent="0.25">
      <c r="A299" s="41"/>
      <c r="B299" s="41"/>
      <c r="C299" s="41"/>
      <c r="D299" s="41"/>
      <c r="E299" s="41"/>
      <c r="F299" s="83"/>
      <c r="G299" s="41"/>
      <c r="H299" s="48"/>
      <c r="I299" s="48"/>
      <c r="J299" s="41" t="str">
        <f t="shared" si="12"/>
        <v/>
      </c>
      <c r="K299" s="98" t="str">
        <f t="shared" si="13"/>
        <v/>
      </c>
      <c r="L299" s="40" t="str">
        <f t="shared" si="14"/>
        <v/>
      </c>
    </row>
    <row r="300" spans="1:12" x14ac:dyDescent="0.25">
      <c r="A300" s="41"/>
      <c r="B300" s="41"/>
      <c r="C300" s="41"/>
      <c r="D300" s="41"/>
      <c r="E300" s="41"/>
      <c r="F300" s="83"/>
      <c r="G300" s="41"/>
      <c r="H300" s="48"/>
      <c r="I300" s="48"/>
      <c r="J300" s="41" t="str">
        <f t="shared" si="12"/>
        <v/>
      </c>
      <c r="K300" s="98" t="str">
        <f t="shared" si="13"/>
        <v/>
      </c>
      <c r="L300" s="40" t="str">
        <f t="shared" si="14"/>
        <v/>
      </c>
    </row>
    <row r="301" spans="1:12" x14ac:dyDescent="0.25">
      <c r="A301" s="41"/>
      <c r="B301" s="41"/>
      <c r="C301" s="41"/>
      <c r="D301" s="41"/>
      <c r="E301" s="41"/>
      <c r="F301" s="83"/>
      <c r="G301" s="41"/>
      <c r="H301" s="48"/>
      <c r="I301" s="48"/>
      <c r="J301" s="41" t="str">
        <f t="shared" si="12"/>
        <v/>
      </c>
      <c r="K301" s="98" t="str">
        <f t="shared" si="13"/>
        <v/>
      </c>
      <c r="L301" s="40" t="str">
        <f t="shared" si="14"/>
        <v/>
      </c>
    </row>
    <row r="302" spans="1:12" x14ac:dyDescent="0.25">
      <c r="A302" s="41"/>
      <c r="B302" s="41"/>
      <c r="C302" s="41"/>
      <c r="D302" s="41"/>
      <c r="E302" s="41"/>
      <c r="F302" s="83"/>
      <c r="G302" s="41"/>
      <c r="H302" s="48"/>
      <c r="I302" s="48"/>
      <c r="J302" s="41" t="str">
        <f t="shared" si="12"/>
        <v/>
      </c>
      <c r="K302" s="98" t="str">
        <f t="shared" si="13"/>
        <v/>
      </c>
      <c r="L302" s="40" t="str">
        <f t="shared" si="14"/>
        <v/>
      </c>
    </row>
    <row r="303" spans="1:12" x14ac:dyDescent="0.25">
      <c r="A303" s="41"/>
      <c r="B303" s="41"/>
      <c r="C303" s="41"/>
      <c r="D303" s="41"/>
      <c r="E303" s="41"/>
      <c r="F303" s="83"/>
      <c r="G303" s="41"/>
      <c r="H303" s="48"/>
      <c r="I303" s="48"/>
      <c r="J303" s="41" t="str">
        <f t="shared" si="12"/>
        <v/>
      </c>
      <c r="K303" s="98" t="str">
        <f t="shared" si="13"/>
        <v/>
      </c>
      <c r="L303" s="40" t="str">
        <f t="shared" si="14"/>
        <v/>
      </c>
    </row>
    <row r="304" spans="1:12" x14ac:dyDescent="0.25">
      <c r="A304" s="41"/>
      <c r="B304" s="41"/>
      <c r="C304" s="41"/>
      <c r="D304" s="41"/>
      <c r="E304" s="41"/>
      <c r="F304" s="83"/>
      <c r="G304" s="41"/>
      <c r="H304" s="48"/>
      <c r="I304" s="48"/>
      <c r="J304" s="41" t="str">
        <f t="shared" si="12"/>
        <v/>
      </c>
      <c r="K304" s="98" t="str">
        <f t="shared" si="13"/>
        <v/>
      </c>
      <c r="L304" s="40" t="str">
        <f t="shared" si="14"/>
        <v/>
      </c>
    </row>
    <row r="305" spans="1:12" x14ac:dyDescent="0.25">
      <c r="A305" s="41"/>
      <c r="B305" s="41"/>
      <c r="C305" s="41"/>
      <c r="D305" s="41"/>
      <c r="E305" s="41"/>
      <c r="F305" s="83"/>
      <c r="G305" s="41"/>
      <c r="H305" s="48"/>
      <c r="I305" s="48"/>
      <c r="J305" s="41" t="str">
        <f t="shared" si="12"/>
        <v/>
      </c>
      <c r="K305" s="98" t="str">
        <f t="shared" si="13"/>
        <v/>
      </c>
      <c r="L305" s="40" t="str">
        <f t="shared" si="14"/>
        <v/>
      </c>
    </row>
    <row r="306" spans="1:12" x14ac:dyDescent="0.25">
      <c r="A306" s="41"/>
      <c r="B306" s="41"/>
      <c r="C306" s="41"/>
      <c r="D306" s="41"/>
      <c r="E306" s="41"/>
      <c r="F306" s="83"/>
      <c r="G306" s="41"/>
      <c r="H306" s="48"/>
      <c r="I306" s="48"/>
      <c r="J306" s="41" t="str">
        <f t="shared" si="12"/>
        <v/>
      </c>
      <c r="K306" s="98" t="str">
        <f t="shared" si="13"/>
        <v/>
      </c>
      <c r="L306" s="40" t="str">
        <f t="shared" si="14"/>
        <v/>
      </c>
    </row>
    <row r="307" spans="1:12" x14ac:dyDescent="0.25">
      <c r="A307" s="41"/>
      <c r="B307" s="41"/>
      <c r="C307" s="41"/>
      <c r="D307" s="41"/>
      <c r="E307" s="41"/>
      <c r="F307" s="83"/>
      <c r="G307" s="41"/>
      <c r="H307" s="48"/>
      <c r="I307" s="48"/>
      <c r="J307" s="41" t="str">
        <f t="shared" si="12"/>
        <v/>
      </c>
      <c r="K307" s="98" t="str">
        <f t="shared" si="13"/>
        <v/>
      </c>
      <c r="L307" s="40" t="str">
        <f t="shared" si="14"/>
        <v/>
      </c>
    </row>
    <row r="308" spans="1:12" x14ac:dyDescent="0.25">
      <c r="A308" s="41"/>
      <c r="B308" s="41"/>
      <c r="C308" s="41"/>
      <c r="D308" s="41"/>
      <c r="E308" s="41"/>
      <c r="F308" s="83"/>
      <c r="G308" s="41"/>
      <c r="H308" s="48"/>
      <c r="I308" s="48"/>
      <c r="J308" s="41" t="str">
        <f t="shared" si="12"/>
        <v/>
      </c>
      <c r="K308" s="98" t="str">
        <f t="shared" si="13"/>
        <v/>
      </c>
      <c r="L308" s="40" t="str">
        <f t="shared" si="14"/>
        <v/>
      </c>
    </row>
    <row r="309" spans="1:12" x14ac:dyDescent="0.25">
      <c r="A309" s="41"/>
      <c r="B309" s="41"/>
      <c r="C309" s="41"/>
      <c r="D309" s="41"/>
      <c r="E309" s="41"/>
      <c r="F309" s="83"/>
      <c r="G309" s="41"/>
      <c r="H309" s="48"/>
      <c r="I309" s="48"/>
      <c r="J309" s="41" t="str">
        <f t="shared" si="12"/>
        <v/>
      </c>
      <c r="K309" s="98" t="str">
        <f t="shared" si="13"/>
        <v/>
      </c>
      <c r="L309" s="40" t="str">
        <f t="shared" si="14"/>
        <v/>
      </c>
    </row>
    <row r="310" spans="1:12" x14ac:dyDescent="0.25">
      <c r="A310" s="41"/>
      <c r="B310" s="41"/>
      <c r="C310" s="41"/>
      <c r="D310" s="41"/>
      <c r="E310" s="41"/>
      <c r="F310" s="83"/>
      <c r="G310" s="41"/>
      <c r="H310" s="48"/>
      <c r="I310" s="48"/>
      <c r="J310" s="41" t="str">
        <f t="shared" si="12"/>
        <v/>
      </c>
      <c r="K310" s="98" t="str">
        <f t="shared" si="13"/>
        <v/>
      </c>
      <c r="L310" s="40" t="str">
        <f t="shared" si="14"/>
        <v/>
      </c>
    </row>
    <row r="311" spans="1:12" x14ac:dyDescent="0.25">
      <c r="A311" s="41"/>
      <c r="B311" s="41"/>
      <c r="C311" s="41"/>
      <c r="D311" s="41"/>
      <c r="E311" s="41"/>
      <c r="F311" s="83"/>
      <c r="G311" s="41"/>
      <c r="H311" s="48"/>
      <c r="I311" s="48"/>
      <c r="J311" s="41" t="str">
        <f t="shared" si="12"/>
        <v/>
      </c>
      <c r="K311" s="98" t="str">
        <f t="shared" si="13"/>
        <v/>
      </c>
      <c r="L311" s="40" t="str">
        <f t="shared" si="14"/>
        <v/>
      </c>
    </row>
    <row r="312" spans="1:12" x14ac:dyDescent="0.25">
      <c r="A312" s="41"/>
      <c r="B312" s="41"/>
      <c r="C312" s="41"/>
      <c r="D312" s="41"/>
      <c r="E312" s="41"/>
      <c r="F312" s="83"/>
      <c r="G312" s="41"/>
      <c r="H312" s="48"/>
      <c r="I312" s="48"/>
      <c r="J312" s="41" t="str">
        <f t="shared" si="12"/>
        <v/>
      </c>
      <c r="K312" s="98" t="str">
        <f t="shared" si="13"/>
        <v/>
      </c>
      <c r="L312" s="40" t="str">
        <f t="shared" si="14"/>
        <v/>
      </c>
    </row>
    <row r="313" spans="1:12" x14ac:dyDescent="0.25">
      <c r="A313" s="41"/>
      <c r="B313" s="41"/>
      <c r="C313" s="41"/>
      <c r="D313" s="41"/>
      <c r="E313" s="41"/>
      <c r="F313" s="83"/>
      <c r="G313" s="41"/>
      <c r="H313" s="48"/>
      <c r="I313" s="48"/>
      <c r="J313" s="41" t="str">
        <f t="shared" si="12"/>
        <v/>
      </c>
      <c r="K313" s="98" t="str">
        <f t="shared" si="13"/>
        <v/>
      </c>
      <c r="L313" s="40" t="str">
        <f t="shared" si="14"/>
        <v/>
      </c>
    </row>
    <row r="314" spans="1:12" x14ac:dyDescent="0.25">
      <c r="A314" s="41"/>
      <c r="B314" s="41"/>
      <c r="C314" s="41"/>
      <c r="D314" s="41"/>
      <c r="E314" s="41"/>
      <c r="F314" s="83"/>
      <c r="G314" s="41"/>
      <c r="H314" s="48"/>
      <c r="I314" s="48"/>
      <c r="J314" s="41" t="str">
        <f t="shared" si="12"/>
        <v/>
      </c>
      <c r="K314" s="98" t="str">
        <f t="shared" si="13"/>
        <v/>
      </c>
      <c r="L314" s="40" t="str">
        <f t="shared" si="14"/>
        <v/>
      </c>
    </row>
    <row r="315" spans="1:12" x14ac:dyDescent="0.25">
      <c r="A315" s="41"/>
      <c r="B315" s="41"/>
      <c r="C315" s="41"/>
      <c r="D315" s="41"/>
      <c r="E315" s="41"/>
      <c r="F315" s="83"/>
      <c r="G315" s="41"/>
      <c r="H315" s="48"/>
      <c r="I315" s="48"/>
      <c r="J315" s="41" t="str">
        <f t="shared" si="12"/>
        <v/>
      </c>
      <c r="K315" s="98" t="str">
        <f t="shared" si="13"/>
        <v/>
      </c>
      <c r="L315" s="40" t="str">
        <f t="shared" si="14"/>
        <v/>
      </c>
    </row>
    <row r="316" spans="1:12" x14ac:dyDescent="0.25">
      <c r="A316" s="41"/>
      <c r="B316" s="41"/>
      <c r="C316" s="41"/>
      <c r="D316" s="41"/>
      <c r="E316" s="41"/>
      <c r="F316" s="83"/>
      <c r="G316" s="41"/>
      <c r="H316" s="48"/>
      <c r="I316" s="48"/>
      <c r="J316" s="41" t="str">
        <f t="shared" si="12"/>
        <v/>
      </c>
      <c r="K316" s="98" t="str">
        <f t="shared" si="13"/>
        <v/>
      </c>
      <c r="L316" s="40" t="str">
        <f t="shared" si="14"/>
        <v/>
      </c>
    </row>
    <row r="317" spans="1:12" x14ac:dyDescent="0.25">
      <c r="A317" s="41"/>
      <c r="B317" s="41"/>
      <c r="C317" s="41"/>
      <c r="D317" s="41"/>
      <c r="E317" s="41"/>
      <c r="F317" s="83"/>
      <c r="G317" s="41"/>
      <c r="H317" s="48"/>
      <c r="I317" s="48"/>
      <c r="J317" s="41" t="str">
        <f t="shared" si="12"/>
        <v/>
      </c>
      <c r="K317" s="98" t="str">
        <f t="shared" si="13"/>
        <v/>
      </c>
      <c r="L317" s="40" t="str">
        <f t="shared" si="14"/>
        <v/>
      </c>
    </row>
    <row r="318" spans="1:12" x14ac:dyDescent="0.25">
      <c r="A318" s="41"/>
      <c r="B318" s="41"/>
      <c r="C318" s="41"/>
      <c r="D318" s="41"/>
      <c r="E318" s="41"/>
      <c r="F318" s="83"/>
      <c r="G318" s="41"/>
      <c r="H318" s="48"/>
      <c r="I318" s="48"/>
      <c r="J318" s="41" t="str">
        <f t="shared" si="12"/>
        <v/>
      </c>
      <c r="K318" s="98" t="str">
        <f t="shared" si="13"/>
        <v/>
      </c>
      <c r="L318" s="40" t="str">
        <f t="shared" si="14"/>
        <v/>
      </c>
    </row>
    <row r="319" spans="1:12" x14ac:dyDescent="0.25">
      <c r="A319" s="41"/>
      <c r="B319" s="41"/>
      <c r="C319" s="41"/>
      <c r="D319" s="41"/>
      <c r="E319" s="41"/>
      <c r="F319" s="83"/>
      <c r="G319" s="41"/>
      <c r="H319" s="48"/>
      <c r="I319" s="48"/>
      <c r="J319" s="41" t="str">
        <f t="shared" si="12"/>
        <v/>
      </c>
      <c r="K319" s="98" t="str">
        <f t="shared" si="13"/>
        <v/>
      </c>
      <c r="L319" s="40" t="str">
        <f t="shared" si="14"/>
        <v/>
      </c>
    </row>
    <row r="320" spans="1:12" x14ac:dyDescent="0.25">
      <c r="A320" s="41"/>
      <c r="B320" s="41"/>
      <c r="C320" s="41"/>
      <c r="D320" s="41"/>
      <c r="E320" s="41"/>
      <c r="F320" s="83"/>
      <c r="G320" s="41"/>
      <c r="H320" s="48"/>
      <c r="I320" s="48"/>
      <c r="J320" s="41" t="str">
        <f t="shared" si="12"/>
        <v/>
      </c>
      <c r="K320" s="98" t="str">
        <f t="shared" si="13"/>
        <v/>
      </c>
      <c r="L320" s="40" t="str">
        <f t="shared" si="14"/>
        <v/>
      </c>
    </row>
    <row r="321" spans="1:12" x14ac:dyDescent="0.25">
      <c r="A321" s="41"/>
      <c r="B321" s="41"/>
      <c r="C321" s="41"/>
      <c r="D321" s="41"/>
      <c r="E321" s="41"/>
      <c r="F321" s="83"/>
      <c r="G321" s="41"/>
      <c r="H321" s="48"/>
      <c r="I321" s="48"/>
      <c r="J321" s="41" t="str">
        <f t="shared" si="12"/>
        <v/>
      </c>
      <c r="K321" s="98" t="str">
        <f t="shared" si="13"/>
        <v/>
      </c>
      <c r="L321" s="40" t="str">
        <f t="shared" si="14"/>
        <v/>
      </c>
    </row>
    <row r="322" spans="1:12" x14ac:dyDescent="0.25">
      <c r="A322" s="41"/>
      <c r="B322" s="41"/>
      <c r="C322" s="41"/>
      <c r="D322" s="41"/>
      <c r="E322" s="41"/>
      <c r="F322" s="83"/>
      <c r="G322" s="41"/>
      <c r="H322" s="48"/>
      <c r="I322" s="48"/>
      <c r="J322" s="41" t="str">
        <f t="shared" si="12"/>
        <v/>
      </c>
      <c r="K322" s="98" t="str">
        <f t="shared" si="13"/>
        <v/>
      </c>
      <c r="L322" s="40" t="str">
        <f t="shared" si="14"/>
        <v/>
      </c>
    </row>
    <row r="323" spans="1:12" x14ac:dyDescent="0.25">
      <c r="A323" s="41"/>
      <c r="B323" s="41"/>
      <c r="C323" s="41"/>
      <c r="D323" s="41"/>
      <c r="E323" s="41"/>
      <c r="F323" s="83"/>
      <c r="G323" s="41"/>
      <c r="H323" s="48"/>
      <c r="I323" s="48"/>
      <c r="J323" s="41" t="str">
        <f t="shared" si="12"/>
        <v/>
      </c>
      <c r="K323" s="98" t="str">
        <f t="shared" si="13"/>
        <v/>
      </c>
      <c r="L323" s="40" t="str">
        <f t="shared" si="14"/>
        <v/>
      </c>
    </row>
    <row r="324" spans="1:12" x14ac:dyDescent="0.25">
      <c r="A324" s="41"/>
      <c r="B324" s="41"/>
      <c r="C324" s="41"/>
      <c r="D324" s="41"/>
      <c r="E324" s="41"/>
      <c r="F324" s="83"/>
      <c r="G324" s="41"/>
      <c r="H324" s="48"/>
      <c r="I324" s="48"/>
      <c r="J324" s="41" t="str">
        <f t="shared" si="12"/>
        <v/>
      </c>
      <c r="K324" s="98" t="str">
        <f t="shared" si="13"/>
        <v/>
      </c>
      <c r="L324" s="40" t="str">
        <f t="shared" si="14"/>
        <v/>
      </c>
    </row>
    <row r="325" spans="1:12" x14ac:dyDescent="0.25">
      <c r="A325" s="41"/>
      <c r="B325" s="41"/>
      <c r="C325" s="41"/>
      <c r="D325" s="41"/>
      <c r="E325" s="41"/>
      <c r="F325" s="83"/>
      <c r="G325" s="41"/>
      <c r="H325" s="48"/>
      <c r="I325" s="48"/>
      <c r="J325" s="41" t="str">
        <f t="shared" si="12"/>
        <v/>
      </c>
      <c r="K325" s="98" t="str">
        <f t="shared" si="13"/>
        <v/>
      </c>
      <c r="L325" s="40" t="str">
        <f t="shared" si="14"/>
        <v/>
      </c>
    </row>
    <row r="326" spans="1:12" x14ac:dyDescent="0.25">
      <c r="A326" s="41"/>
      <c r="B326" s="41"/>
      <c r="C326" s="41"/>
      <c r="D326" s="41"/>
      <c r="E326" s="41"/>
      <c r="F326" s="83"/>
      <c r="G326" s="41"/>
      <c r="H326" s="48"/>
      <c r="I326" s="48"/>
      <c r="J326" s="41" t="str">
        <f t="shared" si="12"/>
        <v/>
      </c>
      <c r="K326" s="98" t="str">
        <f t="shared" si="13"/>
        <v/>
      </c>
      <c r="L326" s="40" t="str">
        <f t="shared" si="14"/>
        <v/>
      </c>
    </row>
    <row r="327" spans="1:12" x14ac:dyDescent="0.25">
      <c r="A327" s="41"/>
      <c r="B327" s="41"/>
      <c r="C327" s="41"/>
      <c r="D327" s="41"/>
      <c r="E327" s="41"/>
      <c r="F327" s="83"/>
      <c r="G327" s="41"/>
      <c r="H327" s="48"/>
      <c r="I327" s="48"/>
      <c r="J327" s="41" t="str">
        <f t="shared" si="12"/>
        <v/>
      </c>
      <c r="K327" s="98" t="str">
        <f t="shared" si="13"/>
        <v/>
      </c>
      <c r="L327" s="40" t="str">
        <f t="shared" si="14"/>
        <v/>
      </c>
    </row>
    <row r="328" spans="1:12" x14ac:dyDescent="0.25">
      <c r="A328" s="41"/>
      <c r="B328" s="41"/>
      <c r="C328" s="41"/>
      <c r="D328" s="41"/>
      <c r="E328" s="41"/>
      <c r="F328" s="83"/>
      <c r="G328" s="41"/>
      <c r="H328" s="48"/>
      <c r="I328" s="48"/>
      <c r="J328" s="41" t="str">
        <f t="shared" si="12"/>
        <v/>
      </c>
      <c r="K328" s="98" t="str">
        <f t="shared" si="13"/>
        <v/>
      </c>
      <c r="L328" s="40" t="str">
        <f t="shared" si="14"/>
        <v/>
      </c>
    </row>
    <row r="329" spans="1:12" x14ac:dyDescent="0.25">
      <c r="A329" s="41"/>
      <c r="B329" s="41"/>
      <c r="C329" s="41"/>
      <c r="D329" s="41"/>
      <c r="E329" s="41"/>
      <c r="F329" s="83"/>
      <c r="G329" s="41"/>
      <c r="H329" s="48"/>
      <c r="I329" s="48"/>
      <c r="J329" s="41" t="str">
        <f t="shared" si="12"/>
        <v/>
      </c>
      <c r="K329" s="98" t="str">
        <f t="shared" si="13"/>
        <v/>
      </c>
      <c r="L329" s="40" t="str">
        <f t="shared" si="14"/>
        <v/>
      </c>
    </row>
    <row r="330" spans="1:12" x14ac:dyDescent="0.25">
      <c r="A330" s="41"/>
      <c r="B330" s="41"/>
      <c r="C330" s="41"/>
      <c r="D330" s="41"/>
      <c r="E330" s="41"/>
      <c r="F330" s="83"/>
      <c r="G330" s="41"/>
      <c r="H330" s="48"/>
      <c r="I330" s="48"/>
      <c r="J330" s="41" t="str">
        <f t="shared" ref="J330:J393" si="15">IFERROR(IF(NOT(ISNUMBER(H330)),"",IF(I330="","ABSENT/NO-SUBMISSION",IF(I330&lt;K330,"No Improvement, Previous marks be assigned.", "Marks Improved"))),"")</f>
        <v/>
      </c>
      <c r="K330" s="98" t="str">
        <f t="shared" ref="K330:K393" si="16">IFERROR(VALUE(MID(F330,6,FIND("%",F330)-6))*H330/100,"")</f>
        <v/>
      </c>
      <c r="L330" s="40" t="str">
        <f t="shared" ref="L330:L393" si="17">IF(AND(G330&lt;&gt;"REPEAT COARSE",A330&lt;&gt;""),"CASE#"&amp; A330&amp;": "&amp;"It is to Inform that you have failed "&amp;E330&amp;" due to "&amp;F330&amp;" percentages. You are required to "&amp;VLOOKUP(G330,$AA$1:$AD$30,2,FALSE) &amp;" " &amp;G330&amp;VLOOKUP(G330,$AA$1:$AD$30,3,FALSE),IF(A330&lt;&gt;"","CASE#"&amp; A330&amp;": "&amp;"It is to Inform that you have failed "&amp;E330&amp;" due to "&amp;F330&amp;" percentages. You are required to  "&amp;G330&amp;" next time if you are interested to imporve this CLO.",""))</f>
        <v/>
      </c>
    </row>
    <row r="331" spans="1:12" x14ac:dyDescent="0.25">
      <c r="A331" s="41"/>
      <c r="B331" s="41"/>
      <c r="C331" s="41"/>
      <c r="D331" s="41"/>
      <c r="E331" s="41"/>
      <c r="F331" s="83"/>
      <c r="G331" s="41"/>
      <c r="H331" s="48"/>
      <c r="I331" s="48"/>
      <c r="J331" s="41" t="str">
        <f t="shared" si="15"/>
        <v/>
      </c>
      <c r="K331" s="98" t="str">
        <f t="shared" si="16"/>
        <v/>
      </c>
      <c r="L331" s="40" t="str">
        <f t="shared" si="17"/>
        <v/>
      </c>
    </row>
    <row r="332" spans="1:12" x14ac:dyDescent="0.25">
      <c r="A332" s="41"/>
      <c r="B332" s="41"/>
      <c r="C332" s="41"/>
      <c r="D332" s="41"/>
      <c r="E332" s="41"/>
      <c r="F332" s="83"/>
      <c r="G332" s="41"/>
      <c r="H332" s="48"/>
      <c r="I332" s="48"/>
      <c r="J332" s="41" t="str">
        <f t="shared" si="15"/>
        <v/>
      </c>
      <c r="K332" s="98" t="str">
        <f t="shared" si="16"/>
        <v/>
      </c>
      <c r="L332" s="40" t="str">
        <f t="shared" si="17"/>
        <v/>
      </c>
    </row>
    <row r="333" spans="1:12" x14ac:dyDescent="0.25">
      <c r="A333" s="41"/>
      <c r="B333" s="41"/>
      <c r="C333" s="41"/>
      <c r="D333" s="41"/>
      <c r="E333" s="41"/>
      <c r="F333" s="83"/>
      <c r="G333" s="41"/>
      <c r="H333" s="48"/>
      <c r="I333" s="48"/>
      <c r="J333" s="41" t="str">
        <f t="shared" si="15"/>
        <v/>
      </c>
      <c r="K333" s="98" t="str">
        <f t="shared" si="16"/>
        <v/>
      </c>
      <c r="L333" s="40" t="str">
        <f t="shared" si="17"/>
        <v/>
      </c>
    </row>
    <row r="334" spans="1:12" x14ac:dyDescent="0.25">
      <c r="A334" s="41"/>
      <c r="B334" s="41"/>
      <c r="C334" s="41"/>
      <c r="D334" s="41"/>
      <c r="E334" s="41"/>
      <c r="F334" s="83"/>
      <c r="G334" s="41"/>
      <c r="H334" s="48"/>
      <c r="I334" s="48"/>
      <c r="J334" s="41" t="str">
        <f t="shared" si="15"/>
        <v/>
      </c>
      <c r="K334" s="98" t="str">
        <f t="shared" si="16"/>
        <v/>
      </c>
      <c r="L334" s="40" t="str">
        <f t="shared" si="17"/>
        <v/>
      </c>
    </row>
    <row r="335" spans="1:12" x14ac:dyDescent="0.25">
      <c r="A335" s="41"/>
      <c r="B335" s="41"/>
      <c r="C335" s="41"/>
      <c r="D335" s="41"/>
      <c r="E335" s="41"/>
      <c r="F335" s="83"/>
      <c r="G335" s="41"/>
      <c r="H335" s="48"/>
      <c r="I335" s="48"/>
      <c r="J335" s="41" t="str">
        <f t="shared" si="15"/>
        <v/>
      </c>
      <c r="K335" s="98" t="str">
        <f t="shared" si="16"/>
        <v/>
      </c>
      <c r="L335" s="40" t="str">
        <f t="shared" si="17"/>
        <v/>
      </c>
    </row>
    <row r="336" spans="1:12" x14ac:dyDescent="0.25">
      <c r="A336" s="41"/>
      <c r="B336" s="41"/>
      <c r="C336" s="41"/>
      <c r="D336" s="41"/>
      <c r="E336" s="41"/>
      <c r="F336" s="83"/>
      <c r="G336" s="41"/>
      <c r="H336" s="48"/>
      <c r="I336" s="48"/>
      <c r="J336" s="41" t="str">
        <f t="shared" si="15"/>
        <v/>
      </c>
      <c r="K336" s="98" t="str">
        <f t="shared" si="16"/>
        <v/>
      </c>
      <c r="L336" s="40" t="str">
        <f t="shared" si="17"/>
        <v/>
      </c>
    </row>
    <row r="337" spans="1:12" x14ac:dyDescent="0.25">
      <c r="A337" s="41"/>
      <c r="B337" s="41"/>
      <c r="C337" s="41"/>
      <c r="D337" s="41"/>
      <c r="E337" s="41"/>
      <c r="F337" s="83"/>
      <c r="G337" s="41"/>
      <c r="H337" s="48"/>
      <c r="I337" s="48"/>
      <c r="J337" s="41" t="str">
        <f t="shared" si="15"/>
        <v/>
      </c>
      <c r="K337" s="98" t="str">
        <f t="shared" si="16"/>
        <v/>
      </c>
      <c r="L337" s="40" t="str">
        <f t="shared" si="17"/>
        <v/>
      </c>
    </row>
    <row r="338" spans="1:12" x14ac:dyDescent="0.25">
      <c r="A338" s="41"/>
      <c r="B338" s="41"/>
      <c r="C338" s="41"/>
      <c r="D338" s="41"/>
      <c r="E338" s="41"/>
      <c r="F338" s="83"/>
      <c r="G338" s="41"/>
      <c r="H338" s="48"/>
      <c r="I338" s="48"/>
      <c r="J338" s="41" t="str">
        <f t="shared" si="15"/>
        <v/>
      </c>
      <c r="K338" s="98" t="str">
        <f t="shared" si="16"/>
        <v/>
      </c>
      <c r="L338" s="40" t="str">
        <f t="shared" si="17"/>
        <v/>
      </c>
    </row>
    <row r="339" spans="1:12" x14ac:dyDescent="0.25">
      <c r="A339" s="41"/>
      <c r="B339" s="41"/>
      <c r="C339" s="41"/>
      <c r="D339" s="41"/>
      <c r="E339" s="41"/>
      <c r="F339" s="83"/>
      <c r="G339" s="41"/>
      <c r="H339" s="48"/>
      <c r="I339" s="48"/>
      <c r="J339" s="41" t="str">
        <f t="shared" si="15"/>
        <v/>
      </c>
      <c r="K339" s="98" t="str">
        <f t="shared" si="16"/>
        <v/>
      </c>
      <c r="L339" s="40" t="str">
        <f t="shared" si="17"/>
        <v/>
      </c>
    </row>
    <row r="340" spans="1:12" x14ac:dyDescent="0.25">
      <c r="A340" s="41"/>
      <c r="B340" s="41"/>
      <c r="C340" s="41"/>
      <c r="D340" s="41"/>
      <c r="E340" s="41"/>
      <c r="F340" s="83"/>
      <c r="G340" s="41"/>
      <c r="H340" s="48"/>
      <c r="I340" s="48"/>
      <c r="J340" s="41" t="str">
        <f t="shared" si="15"/>
        <v/>
      </c>
      <c r="K340" s="98" t="str">
        <f t="shared" si="16"/>
        <v/>
      </c>
      <c r="L340" s="40" t="str">
        <f t="shared" si="17"/>
        <v/>
      </c>
    </row>
    <row r="341" spans="1:12" x14ac:dyDescent="0.25">
      <c r="A341" s="41"/>
      <c r="B341" s="41"/>
      <c r="C341" s="41"/>
      <c r="D341" s="41"/>
      <c r="E341" s="41"/>
      <c r="F341" s="83"/>
      <c r="G341" s="41"/>
      <c r="H341" s="48"/>
      <c r="I341" s="48"/>
      <c r="J341" s="41" t="str">
        <f t="shared" si="15"/>
        <v/>
      </c>
      <c r="K341" s="98" t="str">
        <f t="shared" si="16"/>
        <v/>
      </c>
      <c r="L341" s="40" t="str">
        <f t="shared" si="17"/>
        <v/>
      </c>
    </row>
    <row r="342" spans="1:12" x14ac:dyDescent="0.25">
      <c r="A342" s="41"/>
      <c r="B342" s="41"/>
      <c r="C342" s="41"/>
      <c r="D342" s="41"/>
      <c r="E342" s="41"/>
      <c r="F342" s="83"/>
      <c r="G342" s="41"/>
      <c r="H342" s="48"/>
      <c r="I342" s="48"/>
      <c r="J342" s="41" t="str">
        <f t="shared" si="15"/>
        <v/>
      </c>
      <c r="K342" s="98" t="str">
        <f t="shared" si="16"/>
        <v/>
      </c>
      <c r="L342" s="40" t="str">
        <f t="shared" si="17"/>
        <v/>
      </c>
    </row>
    <row r="343" spans="1:12" x14ac:dyDescent="0.25">
      <c r="A343" s="41"/>
      <c r="B343" s="41"/>
      <c r="C343" s="41"/>
      <c r="D343" s="41"/>
      <c r="E343" s="41"/>
      <c r="F343" s="83"/>
      <c r="G343" s="41"/>
      <c r="H343" s="48"/>
      <c r="I343" s="48"/>
      <c r="J343" s="41" t="str">
        <f t="shared" si="15"/>
        <v/>
      </c>
      <c r="K343" s="98" t="str">
        <f t="shared" si="16"/>
        <v/>
      </c>
      <c r="L343" s="40" t="str">
        <f t="shared" si="17"/>
        <v/>
      </c>
    </row>
    <row r="344" spans="1:12" x14ac:dyDescent="0.25">
      <c r="A344" s="41"/>
      <c r="B344" s="41"/>
      <c r="C344" s="41"/>
      <c r="D344" s="41"/>
      <c r="E344" s="41"/>
      <c r="F344" s="83"/>
      <c r="G344" s="41"/>
      <c r="H344" s="48"/>
      <c r="I344" s="48"/>
      <c r="J344" s="41" t="str">
        <f t="shared" si="15"/>
        <v/>
      </c>
      <c r="K344" s="98" t="str">
        <f t="shared" si="16"/>
        <v/>
      </c>
      <c r="L344" s="40" t="str">
        <f t="shared" si="17"/>
        <v/>
      </c>
    </row>
    <row r="345" spans="1:12" x14ac:dyDescent="0.25">
      <c r="A345" s="41"/>
      <c r="B345" s="41"/>
      <c r="C345" s="41"/>
      <c r="D345" s="41"/>
      <c r="E345" s="41"/>
      <c r="F345" s="83"/>
      <c r="G345" s="41"/>
      <c r="H345" s="48"/>
      <c r="I345" s="48"/>
      <c r="J345" s="41" t="str">
        <f t="shared" si="15"/>
        <v/>
      </c>
      <c r="K345" s="98" t="str">
        <f t="shared" si="16"/>
        <v/>
      </c>
      <c r="L345" s="40" t="str">
        <f t="shared" si="17"/>
        <v/>
      </c>
    </row>
    <row r="346" spans="1:12" x14ac:dyDescent="0.25">
      <c r="A346" s="41"/>
      <c r="B346" s="41"/>
      <c r="C346" s="41"/>
      <c r="D346" s="41"/>
      <c r="E346" s="41"/>
      <c r="F346" s="83"/>
      <c r="G346" s="41"/>
      <c r="H346" s="48"/>
      <c r="I346" s="48"/>
      <c r="J346" s="41" t="str">
        <f t="shared" si="15"/>
        <v/>
      </c>
      <c r="K346" s="98" t="str">
        <f t="shared" si="16"/>
        <v/>
      </c>
      <c r="L346" s="40" t="str">
        <f t="shared" si="17"/>
        <v/>
      </c>
    </row>
    <row r="347" spans="1:12" x14ac:dyDescent="0.25">
      <c r="A347" s="41"/>
      <c r="B347" s="41"/>
      <c r="C347" s="41"/>
      <c r="D347" s="41"/>
      <c r="E347" s="41"/>
      <c r="F347" s="83"/>
      <c r="G347" s="41"/>
      <c r="H347" s="48"/>
      <c r="I347" s="48"/>
      <c r="J347" s="41" t="str">
        <f t="shared" si="15"/>
        <v/>
      </c>
      <c r="K347" s="98" t="str">
        <f t="shared" si="16"/>
        <v/>
      </c>
      <c r="L347" s="40" t="str">
        <f t="shared" si="17"/>
        <v/>
      </c>
    </row>
    <row r="348" spans="1:12" x14ac:dyDescent="0.25">
      <c r="A348" s="41"/>
      <c r="B348" s="41"/>
      <c r="C348" s="41"/>
      <c r="D348" s="41"/>
      <c r="E348" s="41"/>
      <c r="F348" s="83"/>
      <c r="G348" s="41"/>
      <c r="H348" s="48"/>
      <c r="I348" s="48"/>
      <c r="J348" s="41" t="str">
        <f t="shared" si="15"/>
        <v/>
      </c>
      <c r="K348" s="98" t="str">
        <f t="shared" si="16"/>
        <v/>
      </c>
      <c r="L348" s="40" t="str">
        <f t="shared" si="17"/>
        <v/>
      </c>
    </row>
    <row r="349" spans="1:12" x14ac:dyDescent="0.25">
      <c r="A349" s="41"/>
      <c r="B349" s="41"/>
      <c r="C349" s="41"/>
      <c r="D349" s="41"/>
      <c r="E349" s="41"/>
      <c r="F349" s="83"/>
      <c r="G349" s="41"/>
      <c r="H349" s="48"/>
      <c r="I349" s="48"/>
      <c r="J349" s="41" t="str">
        <f t="shared" si="15"/>
        <v/>
      </c>
      <c r="K349" s="98" t="str">
        <f t="shared" si="16"/>
        <v/>
      </c>
      <c r="L349" s="40" t="str">
        <f t="shared" si="17"/>
        <v/>
      </c>
    </row>
    <row r="350" spans="1:12" x14ac:dyDescent="0.25">
      <c r="A350" s="41"/>
      <c r="B350" s="41"/>
      <c r="C350" s="41"/>
      <c r="D350" s="41"/>
      <c r="E350" s="41"/>
      <c r="F350" s="83"/>
      <c r="G350" s="41"/>
      <c r="H350" s="48"/>
      <c r="I350" s="48"/>
      <c r="J350" s="41" t="str">
        <f t="shared" si="15"/>
        <v/>
      </c>
      <c r="K350" s="98" t="str">
        <f t="shared" si="16"/>
        <v/>
      </c>
      <c r="L350" s="40" t="str">
        <f t="shared" si="17"/>
        <v/>
      </c>
    </row>
    <row r="351" spans="1:12" x14ac:dyDescent="0.25">
      <c r="A351" s="41"/>
      <c r="B351" s="41"/>
      <c r="C351" s="41"/>
      <c r="D351" s="41"/>
      <c r="E351" s="41"/>
      <c r="F351" s="83"/>
      <c r="G351" s="41"/>
      <c r="H351" s="48"/>
      <c r="I351" s="48"/>
      <c r="J351" s="41" t="str">
        <f t="shared" si="15"/>
        <v/>
      </c>
      <c r="K351" s="98" t="str">
        <f t="shared" si="16"/>
        <v/>
      </c>
      <c r="L351" s="40" t="str">
        <f t="shared" si="17"/>
        <v/>
      </c>
    </row>
    <row r="352" spans="1:12" x14ac:dyDescent="0.25">
      <c r="A352" s="41"/>
      <c r="B352" s="41"/>
      <c r="C352" s="41"/>
      <c r="D352" s="41"/>
      <c r="E352" s="41"/>
      <c r="F352" s="83"/>
      <c r="G352" s="41"/>
      <c r="H352" s="48"/>
      <c r="I352" s="48"/>
      <c r="J352" s="41" t="str">
        <f t="shared" si="15"/>
        <v/>
      </c>
      <c r="K352" s="98" t="str">
        <f t="shared" si="16"/>
        <v/>
      </c>
      <c r="L352" s="40" t="str">
        <f t="shared" si="17"/>
        <v/>
      </c>
    </row>
    <row r="353" spans="1:12" x14ac:dyDescent="0.25">
      <c r="A353" s="41"/>
      <c r="B353" s="41"/>
      <c r="C353" s="41"/>
      <c r="D353" s="41"/>
      <c r="E353" s="41"/>
      <c r="F353" s="83"/>
      <c r="G353" s="41"/>
      <c r="H353" s="48"/>
      <c r="I353" s="48"/>
      <c r="J353" s="41" t="str">
        <f t="shared" si="15"/>
        <v/>
      </c>
      <c r="K353" s="98" t="str">
        <f t="shared" si="16"/>
        <v/>
      </c>
      <c r="L353" s="40" t="str">
        <f t="shared" si="17"/>
        <v/>
      </c>
    </row>
    <row r="354" spans="1:12" x14ac:dyDescent="0.25">
      <c r="A354" s="41"/>
      <c r="B354" s="41"/>
      <c r="C354" s="41"/>
      <c r="D354" s="41"/>
      <c r="E354" s="41"/>
      <c r="F354" s="83"/>
      <c r="G354" s="41"/>
      <c r="H354" s="48"/>
      <c r="I354" s="48"/>
      <c r="J354" s="41" t="str">
        <f t="shared" si="15"/>
        <v/>
      </c>
      <c r="K354" s="98" t="str">
        <f t="shared" si="16"/>
        <v/>
      </c>
      <c r="L354" s="40" t="str">
        <f t="shared" si="17"/>
        <v/>
      </c>
    </row>
    <row r="355" spans="1:12" x14ac:dyDescent="0.25">
      <c r="A355" s="41"/>
      <c r="B355" s="41"/>
      <c r="C355" s="41"/>
      <c r="D355" s="41"/>
      <c r="E355" s="41"/>
      <c r="F355" s="83"/>
      <c r="G355" s="41"/>
      <c r="H355" s="48"/>
      <c r="I355" s="48"/>
      <c r="J355" s="41" t="str">
        <f t="shared" si="15"/>
        <v/>
      </c>
      <c r="K355" s="98" t="str">
        <f t="shared" si="16"/>
        <v/>
      </c>
      <c r="L355" s="40" t="str">
        <f t="shared" si="17"/>
        <v/>
      </c>
    </row>
    <row r="356" spans="1:12" x14ac:dyDescent="0.25">
      <c r="A356" s="41"/>
      <c r="B356" s="41"/>
      <c r="C356" s="41"/>
      <c r="D356" s="41"/>
      <c r="E356" s="41"/>
      <c r="F356" s="83"/>
      <c r="G356" s="41"/>
      <c r="H356" s="48"/>
      <c r="I356" s="48"/>
      <c r="J356" s="41" t="str">
        <f t="shared" si="15"/>
        <v/>
      </c>
      <c r="K356" s="98" t="str">
        <f t="shared" si="16"/>
        <v/>
      </c>
      <c r="L356" s="40" t="str">
        <f t="shared" si="17"/>
        <v/>
      </c>
    </row>
    <row r="357" spans="1:12" x14ac:dyDescent="0.25">
      <c r="A357" s="41"/>
      <c r="B357" s="41"/>
      <c r="C357" s="41"/>
      <c r="D357" s="41"/>
      <c r="E357" s="41"/>
      <c r="F357" s="83"/>
      <c r="G357" s="41"/>
      <c r="H357" s="48"/>
      <c r="I357" s="48"/>
      <c r="J357" s="41" t="str">
        <f t="shared" si="15"/>
        <v/>
      </c>
      <c r="K357" s="98" t="str">
        <f t="shared" si="16"/>
        <v/>
      </c>
      <c r="L357" s="40" t="str">
        <f t="shared" si="17"/>
        <v/>
      </c>
    </row>
    <row r="358" spans="1:12" x14ac:dyDescent="0.25">
      <c r="A358" s="41"/>
      <c r="B358" s="41"/>
      <c r="C358" s="41"/>
      <c r="D358" s="41"/>
      <c r="E358" s="41"/>
      <c r="F358" s="83"/>
      <c r="G358" s="41"/>
      <c r="H358" s="48"/>
      <c r="I358" s="48"/>
      <c r="J358" s="41" t="str">
        <f t="shared" si="15"/>
        <v/>
      </c>
      <c r="K358" s="98" t="str">
        <f t="shared" si="16"/>
        <v/>
      </c>
      <c r="L358" s="40" t="str">
        <f t="shared" si="17"/>
        <v/>
      </c>
    </row>
    <row r="359" spans="1:12" x14ac:dyDescent="0.25">
      <c r="A359" s="41"/>
      <c r="B359" s="41"/>
      <c r="C359" s="41"/>
      <c r="D359" s="41"/>
      <c r="E359" s="41"/>
      <c r="F359" s="83"/>
      <c r="G359" s="41"/>
      <c r="H359" s="48"/>
      <c r="I359" s="48"/>
      <c r="J359" s="41" t="str">
        <f t="shared" si="15"/>
        <v/>
      </c>
      <c r="K359" s="98" t="str">
        <f t="shared" si="16"/>
        <v/>
      </c>
      <c r="L359" s="40" t="str">
        <f t="shared" si="17"/>
        <v/>
      </c>
    </row>
    <row r="360" spans="1:12" x14ac:dyDescent="0.25">
      <c r="A360" s="41"/>
      <c r="B360" s="41"/>
      <c r="C360" s="41"/>
      <c r="D360" s="41"/>
      <c r="E360" s="41"/>
      <c r="F360" s="83"/>
      <c r="G360" s="41"/>
      <c r="H360" s="48"/>
      <c r="I360" s="48"/>
      <c r="J360" s="41" t="str">
        <f t="shared" si="15"/>
        <v/>
      </c>
      <c r="K360" s="98" t="str">
        <f t="shared" si="16"/>
        <v/>
      </c>
      <c r="L360" s="40" t="str">
        <f t="shared" si="17"/>
        <v/>
      </c>
    </row>
    <row r="361" spans="1:12" x14ac:dyDescent="0.25">
      <c r="A361" s="41"/>
      <c r="B361" s="41"/>
      <c r="C361" s="41"/>
      <c r="D361" s="41"/>
      <c r="E361" s="41"/>
      <c r="F361" s="83"/>
      <c r="G361" s="41"/>
      <c r="H361" s="48"/>
      <c r="I361" s="48"/>
      <c r="J361" s="41" t="str">
        <f t="shared" si="15"/>
        <v/>
      </c>
      <c r="K361" s="98" t="str">
        <f t="shared" si="16"/>
        <v/>
      </c>
      <c r="L361" s="40" t="str">
        <f t="shared" si="17"/>
        <v/>
      </c>
    </row>
    <row r="362" spans="1:12" x14ac:dyDescent="0.25">
      <c r="A362" s="41"/>
      <c r="B362" s="41"/>
      <c r="C362" s="41"/>
      <c r="D362" s="41"/>
      <c r="E362" s="41"/>
      <c r="F362" s="83"/>
      <c r="G362" s="41"/>
      <c r="H362" s="48"/>
      <c r="I362" s="48"/>
      <c r="J362" s="41" t="str">
        <f t="shared" si="15"/>
        <v/>
      </c>
      <c r="K362" s="98" t="str">
        <f t="shared" si="16"/>
        <v/>
      </c>
      <c r="L362" s="40" t="str">
        <f t="shared" si="17"/>
        <v/>
      </c>
    </row>
    <row r="363" spans="1:12" x14ac:dyDescent="0.25">
      <c r="A363" s="41"/>
      <c r="B363" s="41"/>
      <c r="C363" s="41"/>
      <c r="D363" s="41"/>
      <c r="E363" s="41"/>
      <c r="F363" s="83"/>
      <c r="G363" s="41"/>
      <c r="H363" s="48"/>
      <c r="I363" s="48"/>
      <c r="J363" s="41" t="str">
        <f t="shared" si="15"/>
        <v/>
      </c>
      <c r="K363" s="98" t="str">
        <f t="shared" si="16"/>
        <v/>
      </c>
      <c r="L363" s="40" t="str">
        <f t="shared" si="17"/>
        <v/>
      </c>
    </row>
    <row r="364" spans="1:12" x14ac:dyDescent="0.25">
      <c r="A364" s="41"/>
      <c r="B364" s="41"/>
      <c r="C364" s="41"/>
      <c r="D364" s="41"/>
      <c r="E364" s="41"/>
      <c r="F364" s="83"/>
      <c r="G364" s="41"/>
      <c r="H364" s="48"/>
      <c r="I364" s="48"/>
      <c r="J364" s="41" t="str">
        <f t="shared" si="15"/>
        <v/>
      </c>
      <c r="K364" s="98" t="str">
        <f t="shared" si="16"/>
        <v/>
      </c>
      <c r="L364" s="40" t="str">
        <f t="shared" si="17"/>
        <v/>
      </c>
    </row>
    <row r="365" spans="1:12" x14ac:dyDescent="0.25">
      <c r="A365" s="41"/>
      <c r="B365" s="41"/>
      <c r="C365" s="41"/>
      <c r="D365" s="41"/>
      <c r="E365" s="41"/>
      <c r="F365" s="83"/>
      <c r="G365" s="41"/>
      <c r="H365" s="48"/>
      <c r="I365" s="48"/>
      <c r="J365" s="41" t="str">
        <f t="shared" si="15"/>
        <v/>
      </c>
      <c r="K365" s="98" t="str">
        <f t="shared" si="16"/>
        <v/>
      </c>
      <c r="L365" s="40" t="str">
        <f t="shared" si="17"/>
        <v/>
      </c>
    </row>
    <row r="366" spans="1:12" x14ac:dyDescent="0.25">
      <c r="A366" s="41"/>
      <c r="B366" s="41"/>
      <c r="C366" s="41"/>
      <c r="D366" s="41"/>
      <c r="E366" s="41"/>
      <c r="F366" s="83"/>
      <c r="G366" s="41"/>
      <c r="H366" s="48"/>
      <c r="I366" s="48"/>
      <c r="J366" s="41" t="str">
        <f t="shared" si="15"/>
        <v/>
      </c>
      <c r="K366" s="98" t="str">
        <f t="shared" si="16"/>
        <v/>
      </c>
      <c r="L366" s="40" t="str">
        <f t="shared" si="17"/>
        <v/>
      </c>
    </row>
    <row r="367" spans="1:12" x14ac:dyDescent="0.25">
      <c r="A367" s="41"/>
      <c r="B367" s="41"/>
      <c r="C367" s="41"/>
      <c r="D367" s="41"/>
      <c r="E367" s="41"/>
      <c r="F367" s="83"/>
      <c r="G367" s="41"/>
      <c r="H367" s="48"/>
      <c r="I367" s="48"/>
      <c r="J367" s="41" t="str">
        <f t="shared" si="15"/>
        <v/>
      </c>
      <c r="K367" s="98" t="str">
        <f t="shared" si="16"/>
        <v/>
      </c>
      <c r="L367" s="40" t="str">
        <f t="shared" si="17"/>
        <v/>
      </c>
    </row>
    <row r="368" spans="1:12" x14ac:dyDescent="0.25">
      <c r="A368" s="41"/>
      <c r="B368" s="41"/>
      <c r="C368" s="41"/>
      <c r="D368" s="41"/>
      <c r="E368" s="41"/>
      <c r="F368" s="83"/>
      <c r="G368" s="41"/>
      <c r="H368" s="48"/>
      <c r="I368" s="48"/>
      <c r="J368" s="41" t="str">
        <f t="shared" si="15"/>
        <v/>
      </c>
      <c r="K368" s="98" t="str">
        <f t="shared" si="16"/>
        <v/>
      </c>
      <c r="L368" s="40" t="str">
        <f t="shared" si="17"/>
        <v/>
      </c>
    </row>
    <row r="369" spans="1:12" x14ac:dyDescent="0.25">
      <c r="A369" s="41"/>
      <c r="B369" s="41"/>
      <c r="C369" s="41"/>
      <c r="D369" s="41"/>
      <c r="E369" s="41"/>
      <c r="F369" s="83"/>
      <c r="G369" s="41"/>
      <c r="H369" s="48"/>
      <c r="I369" s="48"/>
      <c r="J369" s="41" t="str">
        <f t="shared" si="15"/>
        <v/>
      </c>
      <c r="K369" s="98" t="str">
        <f t="shared" si="16"/>
        <v/>
      </c>
      <c r="L369" s="40" t="str">
        <f t="shared" si="17"/>
        <v/>
      </c>
    </row>
    <row r="370" spans="1:12" x14ac:dyDescent="0.25">
      <c r="A370" s="41"/>
      <c r="B370" s="41"/>
      <c r="C370" s="41"/>
      <c r="D370" s="41"/>
      <c r="E370" s="41"/>
      <c r="F370" s="83"/>
      <c r="G370" s="41"/>
      <c r="H370" s="48"/>
      <c r="I370" s="48"/>
      <c r="J370" s="41" t="str">
        <f t="shared" si="15"/>
        <v/>
      </c>
      <c r="K370" s="98" t="str">
        <f t="shared" si="16"/>
        <v/>
      </c>
      <c r="L370" s="40" t="str">
        <f t="shared" si="17"/>
        <v/>
      </c>
    </row>
    <row r="371" spans="1:12" x14ac:dyDescent="0.25">
      <c r="A371" s="41"/>
      <c r="B371" s="41"/>
      <c r="C371" s="41"/>
      <c r="D371" s="41"/>
      <c r="E371" s="41"/>
      <c r="F371" s="83"/>
      <c r="G371" s="41"/>
      <c r="H371" s="48"/>
      <c r="I371" s="48"/>
      <c r="J371" s="41" t="str">
        <f t="shared" si="15"/>
        <v/>
      </c>
      <c r="K371" s="98" t="str">
        <f t="shared" si="16"/>
        <v/>
      </c>
      <c r="L371" s="40" t="str">
        <f t="shared" si="17"/>
        <v/>
      </c>
    </row>
    <row r="372" spans="1:12" x14ac:dyDescent="0.25">
      <c r="A372" s="41"/>
      <c r="B372" s="41"/>
      <c r="C372" s="41"/>
      <c r="D372" s="41"/>
      <c r="E372" s="41"/>
      <c r="F372" s="83"/>
      <c r="G372" s="41"/>
      <c r="H372" s="48"/>
      <c r="I372" s="48"/>
      <c r="J372" s="41" t="str">
        <f t="shared" si="15"/>
        <v/>
      </c>
      <c r="K372" s="98" t="str">
        <f t="shared" si="16"/>
        <v/>
      </c>
      <c r="L372" s="40" t="str">
        <f t="shared" si="17"/>
        <v/>
      </c>
    </row>
    <row r="373" spans="1:12" x14ac:dyDescent="0.25">
      <c r="A373" s="41"/>
      <c r="B373" s="41"/>
      <c r="C373" s="41"/>
      <c r="D373" s="41"/>
      <c r="E373" s="41"/>
      <c r="F373" s="83"/>
      <c r="G373" s="41"/>
      <c r="H373" s="48"/>
      <c r="I373" s="48"/>
      <c r="J373" s="41" t="str">
        <f t="shared" si="15"/>
        <v/>
      </c>
      <c r="K373" s="98" t="str">
        <f t="shared" si="16"/>
        <v/>
      </c>
      <c r="L373" s="40" t="str">
        <f t="shared" si="17"/>
        <v/>
      </c>
    </row>
    <row r="374" spans="1:12" x14ac:dyDescent="0.25">
      <c r="A374" s="41"/>
      <c r="B374" s="41"/>
      <c r="C374" s="41"/>
      <c r="D374" s="41"/>
      <c r="E374" s="41"/>
      <c r="F374" s="83"/>
      <c r="G374" s="41"/>
      <c r="H374" s="48"/>
      <c r="I374" s="48"/>
      <c r="J374" s="41" t="str">
        <f t="shared" si="15"/>
        <v/>
      </c>
      <c r="K374" s="98" t="str">
        <f t="shared" si="16"/>
        <v/>
      </c>
      <c r="L374" s="40" t="str">
        <f t="shared" si="17"/>
        <v/>
      </c>
    </row>
    <row r="375" spans="1:12" x14ac:dyDescent="0.25">
      <c r="A375" s="41"/>
      <c r="B375" s="41"/>
      <c r="C375" s="41"/>
      <c r="D375" s="41"/>
      <c r="E375" s="41"/>
      <c r="F375" s="83"/>
      <c r="G375" s="41"/>
      <c r="H375" s="48"/>
      <c r="I375" s="48"/>
      <c r="J375" s="41" t="str">
        <f t="shared" si="15"/>
        <v/>
      </c>
      <c r="K375" s="98" t="str">
        <f t="shared" si="16"/>
        <v/>
      </c>
      <c r="L375" s="40" t="str">
        <f t="shared" si="17"/>
        <v/>
      </c>
    </row>
    <row r="376" spans="1:12" x14ac:dyDescent="0.25">
      <c r="A376" s="41"/>
      <c r="B376" s="41"/>
      <c r="C376" s="41"/>
      <c r="D376" s="41"/>
      <c r="E376" s="41"/>
      <c r="F376" s="83"/>
      <c r="G376" s="41"/>
      <c r="H376" s="48"/>
      <c r="I376" s="48"/>
      <c r="J376" s="41" t="str">
        <f t="shared" si="15"/>
        <v/>
      </c>
      <c r="K376" s="98" t="str">
        <f t="shared" si="16"/>
        <v/>
      </c>
      <c r="L376" s="40" t="str">
        <f t="shared" si="17"/>
        <v/>
      </c>
    </row>
    <row r="377" spans="1:12" x14ac:dyDescent="0.25">
      <c r="A377" s="41"/>
      <c r="B377" s="41"/>
      <c r="C377" s="41"/>
      <c r="D377" s="41"/>
      <c r="E377" s="41"/>
      <c r="F377" s="83"/>
      <c r="G377" s="41"/>
      <c r="H377" s="48"/>
      <c r="I377" s="48"/>
      <c r="J377" s="41" t="str">
        <f t="shared" si="15"/>
        <v/>
      </c>
      <c r="K377" s="98" t="str">
        <f t="shared" si="16"/>
        <v/>
      </c>
      <c r="L377" s="40" t="str">
        <f t="shared" si="17"/>
        <v/>
      </c>
    </row>
    <row r="378" spans="1:12" x14ac:dyDescent="0.25">
      <c r="A378" s="41"/>
      <c r="B378" s="41"/>
      <c r="C378" s="41"/>
      <c r="D378" s="41"/>
      <c r="E378" s="41"/>
      <c r="F378" s="83"/>
      <c r="G378" s="41"/>
      <c r="H378" s="48"/>
      <c r="I378" s="48"/>
      <c r="J378" s="41" t="str">
        <f t="shared" si="15"/>
        <v/>
      </c>
      <c r="K378" s="98" t="str">
        <f t="shared" si="16"/>
        <v/>
      </c>
      <c r="L378" s="40" t="str">
        <f t="shared" si="17"/>
        <v/>
      </c>
    </row>
    <row r="379" spans="1:12" x14ac:dyDescent="0.25">
      <c r="A379" s="41"/>
      <c r="B379" s="41"/>
      <c r="C379" s="41"/>
      <c r="D379" s="41"/>
      <c r="E379" s="41"/>
      <c r="F379" s="83"/>
      <c r="G379" s="41"/>
      <c r="H379" s="48"/>
      <c r="I379" s="48"/>
      <c r="J379" s="41" t="str">
        <f t="shared" si="15"/>
        <v/>
      </c>
      <c r="K379" s="98" t="str">
        <f t="shared" si="16"/>
        <v/>
      </c>
      <c r="L379" s="40" t="str">
        <f t="shared" si="17"/>
        <v/>
      </c>
    </row>
    <row r="380" spans="1:12" x14ac:dyDescent="0.25">
      <c r="A380" s="41"/>
      <c r="B380" s="41"/>
      <c r="C380" s="41"/>
      <c r="D380" s="41"/>
      <c r="E380" s="41"/>
      <c r="F380" s="83"/>
      <c r="G380" s="41"/>
      <c r="H380" s="48"/>
      <c r="I380" s="48"/>
      <c r="J380" s="41" t="str">
        <f t="shared" si="15"/>
        <v/>
      </c>
      <c r="K380" s="98" t="str">
        <f t="shared" si="16"/>
        <v/>
      </c>
      <c r="L380" s="40" t="str">
        <f t="shared" si="17"/>
        <v/>
      </c>
    </row>
    <row r="381" spans="1:12" x14ac:dyDescent="0.25">
      <c r="A381" s="41"/>
      <c r="B381" s="41"/>
      <c r="C381" s="41"/>
      <c r="D381" s="41"/>
      <c r="E381" s="41"/>
      <c r="F381" s="83"/>
      <c r="G381" s="41"/>
      <c r="H381" s="48"/>
      <c r="I381" s="48"/>
      <c r="J381" s="41" t="str">
        <f t="shared" si="15"/>
        <v/>
      </c>
      <c r="K381" s="98" t="str">
        <f t="shared" si="16"/>
        <v/>
      </c>
      <c r="L381" s="40" t="str">
        <f t="shared" si="17"/>
        <v/>
      </c>
    </row>
    <row r="382" spans="1:12" x14ac:dyDescent="0.25">
      <c r="A382" s="41"/>
      <c r="B382" s="41"/>
      <c r="C382" s="41"/>
      <c r="D382" s="41"/>
      <c r="E382" s="41"/>
      <c r="F382" s="83"/>
      <c r="G382" s="41"/>
      <c r="H382" s="48"/>
      <c r="I382" s="48"/>
      <c r="J382" s="41" t="str">
        <f t="shared" si="15"/>
        <v/>
      </c>
      <c r="K382" s="98" t="str">
        <f t="shared" si="16"/>
        <v/>
      </c>
      <c r="L382" s="40" t="str">
        <f t="shared" si="17"/>
        <v/>
      </c>
    </row>
    <row r="383" spans="1:12" x14ac:dyDescent="0.25">
      <c r="A383" s="41"/>
      <c r="B383" s="41"/>
      <c r="C383" s="41"/>
      <c r="D383" s="41"/>
      <c r="E383" s="41"/>
      <c r="F383" s="83"/>
      <c r="G383" s="41"/>
      <c r="H383" s="48"/>
      <c r="I383" s="48"/>
      <c r="J383" s="41" t="str">
        <f t="shared" si="15"/>
        <v/>
      </c>
      <c r="K383" s="98" t="str">
        <f t="shared" si="16"/>
        <v/>
      </c>
      <c r="L383" s="40" t="str">
        <f t="shared" si="17"/>
        <v/>
      </c>
    </row>
    <row r="384" spans="1:12" x14ac:dyDescent="0.25">
      <c r="A384" s="41"/>
      <c r="B384" s="41"/>
      <c r="C384" s="41"/>
      <c r="D384" s="41"/>
      <c r="E384" s="41"/>
      <c r="F384" s="83"/>
      <c r="G384" s="41"/>
      <c r="H384" s="48"/>
      <c r="I384" s="48"/>
      <c r="J384" s="41" t="str">
        <f t="shared" si="15"/>
        <v/>
      </c>
      <c r="K384" s="98" t="str">
        <f t="shared" si="16"/>
        <v/>
      </c>
      <c r="L384" s="40" t="str">
        <f t="shared" si="17"/>
        <v/>
      </c>
    </row>
    <row r="385" spans="1:12" x14ac:dyDescent="0.25">
      <c r="A385" s="41"/>
      <c r="B385" s="41"/>
      <c r="C385" s="41"/>
      <c r="D385" s="41"/>
      <c r="E385" s="41"/>
      <c r="F385" s="83"/>
      <c r="G385" s="41"/>
      <c r="H385" s="48"/>
      <c r="I385" s="48"/>
      <c r="J385" s="41" t="str">
        <f t="shared" si="15"/>
        <v/>
      </c>
      <c r="K385" s="98" t="str">
        <f t="shared" si="16"/>
        <v/>
      </c>
      <c r="L385" s="40" t="str">
        <f t="shared" si="17"/>
        <v/>
      </c>
    </row>
    <row r="386" spans="1:12" x14ac:dyDescent="0.25">
      <c r="A386" s="41"/>
      <c r="B386" s="41"/>
      <c r="C386" s="41"/>
      <c r="D386" s="41"/>
      <c r="E386" s="41"/>
      <c r="F386" s="83"/>
      <c r="G386" s="41"/>
      <c r="H386" s="48"/>
      <c r="I386" s="48"/>
      <c r="J386" s="41" t="str">
        <f t="shared" si="15"/>
        <v/>
      </c>
      <c r="K386" s="98" t="str">
        <f t="shared" si="16"/>
        <v/>
      </c>
      <c r="L386" s="40" t="str">
        <f t="shared" si="17"/>
        <v/>
      </c>
    </row>
    <row r="387" spans="1:12" x14ac:dyDescent="0.25">
      <c r="A387" s="41"/>
      <c r="B387" s="41"/>
      <c r="C387" s="41"/>
      <c r="D387" s="41"/>
      <c r="E387" s="41"/>
      <c r="F387" s="83"/>
      <c r="G387" s="41"/>
      <c r="H387" s="48"/>
      <c r="I387" s="48"/>
      <c r="J387" s="41" t="str">
        <f t="shared" si="15"/>
        <v/>
      </c>
      <c r="K387" s="98" t="str">
        <f t="shared" si="16"/>
        <v/>
      </c>
      <c r="L387" s="40" t="str">
        <f t="shared" si="17"/>
        <v/>
      </c>
    </row>
    <row r="388" spans="1:12" x14ac:dyDescent="0.25">
      <c r="A388" s="41"/>
      <c r="B388" s="41"/>
      <c r="C388" s="41"/>
      <c r="D388" s="41"/>
      <c r="E388" s="41"/>
      <c r="F388" s="83"/>
      <c r="G388" s="41"/>
      <c r="H388" s="48"/>
      <c r="I388" s="48"/>
      <c r="J388" s="41" t="str">
        <f t="shared" si="15"/>
        <v/>
      </c>
      <c r="K388" s="98" t="str">
        <f t="shared" si="16"/>
        <v/>
      </c>
      <c r="L388" s="40" t="str">
        <f t="shared" si="17"/>
        <v/>
      </c>
    </row>
    <row r="389" spans="1:12" x14ac:dyDescent="0.25">
      <c r="A389" s="41"/>
      <c r="B389" s="41"/>
      <c r="C389" s="41"/>
      <c r="D389" s="41"/>
      <c r="E389" s="41"/>
      <c r="F389" s="83"/>
      <c r="G389" s="41"/>
      <c r="H389" s="48"/>
      <c r="I389" s="48"/>
      <c r="J389" s="41" t="str">
        <f t="shared" si="15"/>
        <v/>
      </c>
      <c r="K389" s="98" t="str">
        <f t="shared" si="16"/>
        <v/>
      </c>
      <c r="L389" s="40" t="str">
        <f t="shared" si="17"/>
        <v/>
      </c>
    </row>
    <row r="390" spans="1:12" x14ac:dyDescent="0.25">
      <c r="A390" s="41"/>
      <c r="B390" s="41"/>
      <c r="C390" s="41"/>
      <c r="D390" s="41"/>
      <c r="E390" s="41"/>
      <c r="F390" s="83"/>
      <c r="G390" s="41"/>
      <c r="H390" s="48"/>
      <c r="I390" s="48"/>
      <c r="J390" s="41" t="str">
        <f t="shared" si="15"/>
        <v/>
      </c>
      <c r="K390" s="98" t="str">
        <f t="shared" si="16"/>
        <v/>
      </c>
      <c r="L390" s="40" t="str">
        <f t="shared" si="17"/>
        <v/>
      </c>
    </row>
    <row r="391" spans="1:12" x14ac:dyDescent="0.25">
      <c r="A391" s="41"/>
      <c r="B391" s="41"/>
      <c r="C391" s="41"/>
      <c r="D391" s="41"/>
      <c r="E391" s="41"/>
      <c r="F391" s="83"/>
      <c r="G391" s="41"/>
      <c r="H391" s="48"/>
      <c r="I391" s="48"/>
      <c r="J391" s="41" t="str">
        <f t="shared" si="15"/>
        <v/>
      </c>
      <c r="K391" s="98" t="str">
        <f t="shared" si="16"/>
        <v/>
      </c>
      <c r="L391" s="40" t="str">
        <f t="shared" si="17"/>
        <v/>
      </c>
    </row>
    <row r="392" spans="1:12" x14ac:dyDescent="0.25">
      <c r="A392" s="41"/>
      <c r="B392" s="41"/>
      <c r="C392" s="41"/>
      <c r="D392" s="41"/>
      <c r="E392" s="41"/>
      <c r="F392" s="83"/>
      <c r="G392" s="41"/>
      <c r="H392" s="48"/>
      <c r="I392" s="48"/>
      <c r="J392" s="41" t="str">
        <f t="shared" si="15"/>
        <v/>
      </c>
      <c r="K392" s="98" t="str">
        <f t="shared" si="16"/>
        <v/>
      </c>
      <c r="L392" s="40" t="str">
        <f t="shared" si="17"/>
        <v/>
      </c>
    </row>
    <row r="393" spans="1:12" x14ac:dyDescent="0.25">
      <c r="A393" s="41"/>
      <c r="B393" s="41"/>
      <c r="C393" s="41"/>
      <c r="D393" s="41"/>
      <c r="E393" s="41"/>
      <c r="F393" s="83"/>
      <c r="G393" s="41"/>
      <c r="H393" s="48"/>
      <c r="I393" s="48"/>
      <c r="J393" s="41" t="str">
        <f t="shared" si="15"/>
        <v/>
      </c>
      <c r="K393" s="98" t="str">
        <f t="shared" si="16"/>
        <v/>
      </c>
      <c r="L393" s="40" t="str">
        <f t="shared" si="17"/>
        <v/>
      </c>
    </row>
    <row r="394" spans="1:12" x14ac:dyDescent="0.25">
      <c r="A394" s="41"/>
      <c r="B394" s="41"/>
      <c r="C394" s="41"/>
      <c r="D394" s="41"/>
      <c r="E394" s="41"/>
      <c r="F394" s="83"/>
      <c r="G394" s="41"/>
      <c r="H394" s="48"/>
      <c r="I394" s="48"/>
      <c r="J394" s="41" t="str">
        <f t="shared" ref="J394:J457" si="18">IFERROR(IF(NOT(ISNUMBER(H394)),"",IF(I394="","ABSENT/NO-SUBMISSION",IF(I394&lt;K394,"No Improvement, Previous marks be assigned.", "Marks Improved"))),"")</f>
        <v/>
      </c>
      <c r="K394" s="98" t="str">
        <f t="shared" ref="K394:K457" si="19">IFERROR(VALUE(MID(F394,6,FIND("%",F394)-6))*H394/100,"")</f>
        <v/>
      </c>
      <c r="L394" s="40" t="str">
        <f t="shared" ref="L394:L457" si="20">IF(AND(G394&lt;&gt;"REPEAT COARSE",A394&lt;&gt;""),"CASE#"&amp; A394&amp;": "&amp;"It is to Inform that you have failed "&amp;E394&amp;" due to "&amp;F394&amp;" percentages. You are required to "&amp;VLOOKUP(G394,$AA$1:$AD$30,2,FALSE) &amp;" " &amp;G394&amp;VLOOKUP(G394,$AA$1:$AD$30,3,FALSE),IF(A394&lt;&gt;"","CASE#"&amp; A394&amp;": "&amp;"It is to Inform that you have failed "&amp;E394&amp;" due to "&amp;F394&amp;" percentages. You are required to  "&amp;G394&amp;" next time if you are interested to imporve this CLO.",""))</f>
        <v/>
      </c>
    </row>
    <row r="395" spans="1:12" x14ac:dyDescent="0.25">
      <c r="A395" s="41"/>
      <c r="B395" s="41"/>
      <c r="C395" s="41"/>
      <c r="D395" s="41"/>
      <c r="E395" s="41"/>
      <c r="F395" s="83"/>
      <c r="G395" s="41"/>
      <c r="H395" s="48"/>
      <c r="I395" s="48"/>
      <c r="J395" s="41" t="str">
        <f t="shared" si="18"/>
        <v/>
      </c>
      <c r="K395" s="98" t="str">
        <f t="shared" si="19"/>
        <v/>
      </c>
      <c r="L395" s="40" t="str">
        <f t="shared" si="20"/>
        <v/>
      </c>
    </row>
    <row r="396" spans="1:12" x14ac:dyDescent="0.25">
      <c r="A396" s="41"/>
      <c r="B396" s="41"/>
      <c r="C396" s="41"/>
      <c r="D396" s="41"/>
      <c r="E396" s="41"/>
      <c r="F396" s="83"/>
      <c r="G396" s="41"/>
      <c r="H396" s="48"/>
      <c r="I396" s="48"/>
      <c r="J396" s="41" t="str">
        <f t="shared" si="18"/>
        <v/>
      </c>
      <c r="K396" s="98" t="str">
        <f t="shared" si="19"/>
        <v/>
      </c>
      <c r="L396" s="40" t="str">
        <f t="shared" si="20"/>
        <v/>
      </c>
    </row>
    <row r="397" spans="1:12" x14ac:dyDescent="0.25">
      <c r="A397" s="41"/>
      <c r="B397" s="41"/>
      <c r="C397" s="41"/>
      <c r="D397" s="41"/>
      <c r="E397" s="41"/>
      <c r="F397" s="83"/>
      <c r="G397" s="41"/>
      <c r="H397" s="48"/>
      <c r="I397" s="48"/>
      <c r="J397" s="41" t="str">
        <f t="shared" si="18"/>
        <v/>
      </c>
      <c r="K397" s="98" t="str">
        <f t="shared" si="19"/>
        <v/>
      </c>
      <c r="L397" s="40" t="str">
        <f t="shared" si="20"/>
        <v/>
      </c>
    </row>
    <row r="398" spans="1:12" x14ac:dyDescent="0.25">
      <c r="A398" s="41"/>
      <c r="B398" s="41"/>
      <c r="C398" s="41"/>
      <c r="D398" s="41"/>
      <c r="E398" s="41"/>
      <c r="F398" s="83"/>
      <c r="G398" s="41"/>
      <c r="H398" s="48"/>
      <c r="I398" s="48"/>
      <c r="J398" s="41" t="str">
        <f t="shared" si="18"/>
        <v/>
      </c>
      <c r="K398" s="98" t="str">
        <f t="shared" si="19"/>
        <v/>
      </c>
      <c r="L398" s="40" t="str">
        <f t="shared" si="20"/>
        <v/>
      </c>
    </row>
    <row r="399" spans="1:12" x14ac:dyDescent="0.25">
      <c r="A399" s="41"/>
      <c r="B399" s="41"/>
      <c r="C399" s="41"/>
      <c r="D399" s="41"/>
      <c r="E399" s="41"/>
      <c r="F399" s="83"/>
      <c r="G399" s="41"/>
      <c r="H399" s="48"/>
      <c r="I399" s="48"/>
      <c r="J399" s="41" t="str">
        <f t="shared" si="18"/>
        <v/>
      </c>
      <c r="K399" s="98" t="str">
        <f t="shared" si="19"/>
        <v/>
      </c>
      <c r="L399" s="40" t="str">
        <f t="shared" si="20"/>
        <v/>
      </c>
    </row>
    <row r="400" spans="1:12" x14ac:dyDescent="0.25">
      <c r="A400" s="41"/>
      <c r="B400" s="41"/>
      <c r="C400" s="41"/>
      <c r="D400" s="41"/>
      <c r="E400" s="41"/>
      <c r="F400" s="83"/>
      <c r="G400" s="41"/>
      <c r="H400" s="48"/>
      <c r="I400" s="48"/>
      <c r="J400" s="41" t="str">
        <f t="shared" si="18"/>
        <v/>
      </c>
      <c r="K400" s="98" t="str">
        <f t="shared" si="19"/>
        <v/>
      </c>
      <c r="L400" s="40" t="str">
        <f t="shared" si="20"/>
        <v/>
      </c>
    </row>
    <row r="401" spans="1:12" x14ac:dyDescent="0.25">
      <c r="A401" s="41"/>
      <c r="B401" s="41"/>
      <c r="C401" s="41"/>
      <c r="D401" s="41"/>
      <c r="E401" s="41"/>
      <c r="F401" s="83"/>
      <c r="G401" s="41"/>
      <c r="H401" s="48"/>
      <c r="I401" s="48"/>
      <c r="J401" s="41" t="str">
        <f t="shared" si="18"/>
        <v/>
      </c>
      <c r="K401" s="98" t="str">
        <f t="shared" si="19"/>
        <v/>
      </c>
      <c r="L401" s="40" t="str">
        <f t="shared" si="20"/>
        <v/>
      </c>
    </row>
    <row r="402" spans="1:12" x14ac:dyDescent="0.25">
      <c r="A402" s="41"/>
      <c r="B402" s="41"/>
      <c r="C402" s="41"/>
      <c r="D402" s="41"/>
      <c r="E402" s="41"/>
      <c r="F402" s="83"/>
      <c r="G402" s="41"/>
      <c r="H402" s="48"/>
      <c r="I402" s="48"/>
      <c r="J402" s="41" t="str">
        <f t="shared" si="18"/>
        <v/>
      </c>
      <c r="K402" s="98" t="str">
        <f t="shared" si="19"/>
        <v/>
      </c>
      <c r="L402" s="40" t="str">
        <f t="shared" si="20"/>
        <v/>
      </c>
    </row>
    <row r="403" spans="1:12" x14ac:dyDescent="0.25">
      <c r="A403" s="41"/>
      <c r="B403" s="41"/>
      <c r="C403" s="41"/>
      <c r="D403" s="41"/>
      <c r="E403" s="41"/>
      <c r="F403" s="83"/>
      <c r="G403" s="41"/>
      <c r="H403" s="48"/>
      <c r="I403" s="48"/>
      <c r="J403" s="41" t="str">
        <f t="shared" si="18"/>
        <v/>
      </c>
      <c r="K403" s="98" t="str">
        <f t="shared" si="19"/>
        <v/>
      </c>
      <c r="L403" s="40" t="str">
        <f t="shared" si="20"/>
        <v/>
      </c>
    </row>
    <row r="404" spans="1:12" x14ac:dyDescent="0.25">
      <c r="A404" s="41"/>
      <c r="B404" s="41"/>
      <c r="C404" s="41"/>
      <c r="D404" s="41"/>
      <c r="E404" s="41"/>
      <c r="F404" s="83"/>
      <c r="G404" s="41"/>
      <c r="H404" s="48"/>
      <c r="I404" s="48"/>
      <c r="J404" s="41" t="str">
        <f t="shared" si="18"/>
        <v/>
      </c>
      <c r="K404" s="98" t="str">
        <f t="shared" si="19"/>
        <v/>
      </c>
      <c r="L404" s="40" t="str">
        <f t="shared" si="20"/>
        <v/>
      </c>
    </row>
    <row r="405" spans="1:12" x14ac:dyDescent="0.25">
      <c r="A405" s="41"/>
      <c r="B405" s="41"/>
      <c r="C405" s="41"/>
      <c r="D405" s="41"/>
      <c r="E405" s="41"/>
      <c r="F405" s="83"/>
      <c r="G405" s="41"/>
      <c r="H405" s="48"/>
      <c r="I405" s="48"/>
      <c r="J405" s="41" t="str">
        <f t="shared" si="18"/>
        <v/>
      </c>
      <c r="K405" s="98" t="str">
        <f t="shared" si="19"/>
        <v/>
      </c>
      <c r="L405" s="40" t="str">
        <f t="shared" si="20"/>
        <v/>
      </c>
    </row>
    <row r="406" spans="1:12" x14ac:dyDescent="0.25">
      <c r="A406" s="41"/>
      <c r="B406" s="41"/>
      <c r="C406" s="41"/>
      <c r="D406" s="41"/>
      <c r="E406" s="41"/>
      <c r="F406" s="83"/>
      <c r="G406" s="41"/>
      <c r="H406" s="48"/>
      <c r="I406" s="48"/>
      <c r="J406" s="41" t="str">
        <f t="shared" si="18"/>
        <v/>
      </c>
      <c r="K406" s="98" t="str">
        <f t="shared" si="19"/>
        <v/>
      </c>
      <c r="L406" s="40" t="str">
        <f t="shared" si="20"/>
        <v/>
      </c>
    </row>
    <row r="407" spans="1:12" x14ac:dyDescent="0.25">
      <c r="A407" s="41"/>
      <c r="B407" s="41"/>
      <c r="C407" s="41"/>
      <c r="D407" s="41"/>
      <c r="E407" s="41"/>
      <c r="F407" s="83"/>
      <c r="G407" s="41"/>
      <c r="H407" s="48"/>
      <c r="I407" s="48"/>
      <c r="J407" s="41" t="str">
        <f t="shared" si="18"/>
        <v/>
      </c>
      <c r="K407" s="98" t="str">
        <f t="shared" si="19"/>
        <v/>
      </c>
      <c r="L407" s="40" t="str">
        <f t="shared" si="20"/>
        <v/>
      </c>
    </row>
    <row r="408" spans="1:12" x14ac:dyDescent="0.25">
      <c r="A408" s="41"/>
      <c r="B408" s="41"/>
      <c r="C408" s="41"/>
      <c r="D408" s="41"/>
      <c r="E408" s="41"/>
      <c r="F408" s="83"/>
      <c r="G408" s="41"/>
      <c r="H408" s="48"/>
      <c r="I408" s="48"/>
      <c r="J408" s="41" t="str">
        <f t="shared" si="18"/>
        <v/>
      </c>
      <c r="K408" s="98" t="str">
        <f t="shared" si="19"/>
        <v/>
      </c>
      <c r="L408" s="40" t="str">
        <f t="shared" si="20"/>
        <v/>
      </c>
    </row>
    <row r="409" spans="1:12" x14ac:dyDescent="0.25">
      <c r="A409" s="41"/>
      <c r="B409" s="41"/>
      <c r="C409" s="41"/>
      <c r="D409" s="41"/>
      <c r="E409" s="41"/>
      <c r="F409" s="83"/>
      <c r="G409" s="41"/>
      <c r="H409" s="48"/>
      <c r="I409" s="48"/>
      <c r="J409" s="41" t="str">
        <f t="shared" si="18"/>
        <v/>
      </c>
      <c r="K409" s="98" t="str">
        <f t="shared" si="19"/>
        <v/>
      </c>
      <c r="L409" s="40" t="str">
        <f t="shared" si="20"/>
        <v/>
      </c>
    </row>
    <row r="410" spans="1:12" x14ac:dyDescent="0.25">
      <c r="A410" s="41"/>
      <c r="B410" s="41"/>
      <c r="C410" s="41"/>
      <c r="D410" s="41"/>
      <c r="E410" s="41"/>
      <c r="F410" s="83"/>
      <c r="G410" s="41"/>
      <c r="H410" s="48"/>
      <c r="I410" s="48"/>
      <c r="J410" s="41" t="str">
        <f t="shared" si="18"/>
        <v/>
      </c>
      <c r="K410" s="98" t="str">
        <f t="shared" si="19"/>
        <v/>
      </c>
      <c r="L410" s="40" t="str">
        <f t="shared" si="20"/>
        <v/>
      </c>
    </row>
    <row r="411" spans="1:12" x14ac:dyDescent="0.25">
      <c r="A411" s="41"/>
      <c r="B411" s="41"/>
      <c r="C411" s="41"/>
      <c r="D411" s="41"/>
      <c r="E411" s="41"/>
      <c r="F411" s="83"/>
      <c r="G411" s="41"/>
      <c r="H411" s="48"/>
      <c r="I411" s="48"/>
      <c r="J411" s="41" t="str">
        <f t="shared" si="18"/>
        <v/>
      </c>
      <c r="K411" s="98" t="str">
        <f t="shared" si="19"/>
        <v/>
      </c>
      <c r="L411" s="40" t="str">
        <f t="shared" si="20"/>
        <v/>
      </c>
    </row>
    <row r="412" spans="1:12" x14ac:dyDescent="0.25">
      <c r="A412" s="41"/>
      <c r="B412" s="41"/>
      <c r="C412" s="41"/>
      <c r="D412" s="41"/>
      <c r="E412" s="41"/>
      <c r="F412" s="83"/>
      <c r="G412" s="41"/>
      <c r="H412" s="48"/>
      <c r="I412" s="48"/>
      <c r="J412" s="41" t="str">
        <f t="shared" si="18"/>
        <v/>
      </c>
      <c r="K412" s="98" t="str">
        <f t="shared" si="19"/>
        <v/>
      </c>
      <c r="L412" s="40" t="str">
        <f t="shared" si="20"/>
        <v/>
      </c>
    </row>
    <row r="413" spans="1:12" x14ac:dyDescent="0.25">
      <c r="A413" s="41"/>
      <c r="B413" s="41"/>
      <c r="C413" s="41"/>
      <c r="D413" s="41"/>
      <c r="E413" s="41"/>
      <c r="F413" s="83"/>
      <c r="G413" s="41"/>
      <c r="H413" s="48"/>
      <c r="I413" s="48"/>
      <c r="J413" s="41" t="str">
        <f t="shared" si="18"/>
        <v/>
      </c>
      <c r="K413" s="98" t="str">
        <f t="shared" si="19"/>
        <v/>
      </c>
      <c r="L413" s="40" t="str">
        <f t="shared" si="20"/>
        <v/>
      </c>
    </row>
    <row r="414" spans="1:12" x14ac:dyDescent="0.25">
      <c r="A414" s="41"/>
      <c r="B414" s="41"/>
      <c r="C414" s="41"/>
      <c r="D414" s="41"/>
      <c r="E414" s="41"/>
      <c r="F414" s="83"/>
      <c r="G414" s="41"/>
      <c r="H414" s="48"/>
      <c r="I414" s="48"/>
      <c r="J414" s="41" t="str">
        <f t="shared" si="18"/>
        <v/>
      </c>
      <c r="K414" s="98" t="str">
        <f t="shared" si="19"/>
        <v/>
      </c>
      <c r="L414" s="40" t="str">
        <f t="shared" si="20"/>
        <v/>
      </c>
    </row>
    <row r="415" spans="1:12" x14ac:dyDescent="0.25">
      <c r="A415" s="41"/>
      <c r="B415" s="41"/>
      <c r="C415" s="41"/>
      <c r="D415" s="41"/>
      <c r="E415" s="41"/>
      <c r="F415" s="83"/>
      <c r="G415" s="41"/>
      <c r="H415" s="48"/>
      <c r="I415" s="48"/>
      <c r="J415" s="41" t="str">
        <f t="shared" si="18"/>
        <v/>
      </c>
      <c r="K415" s="98" t="str">
        <f t="shared" si="19"/>
        <v/>
      </c>
      <c r="L415" s="40" t="str">
        <f t="shared" si="20"/>
        <v/>
      </c>
    </row>
    <row r="416" spans="1:12" x14ac:dyDescent="0.25">
      <c r="A416" s="41"/>
      <c r="B416" s="41"/>
      <c r="C416" s="41"/>
      <c r="D416" s="41"/>
      <c r="E416" s="41"/>
      <c r="F416" s="83"/>
      <c r="G416" s="41"/>
      <c r="H416" s="48"/>
      <c r="I416" s="48"/>
      <c r="J416" s="41" t="str">
        <f t="shared" si="18"/>
        <v/>
      </c>
      <c r="K416" s="98" t="str">
        <f t="shared" si="19"/>
        <v/>
      </c>
      <c r="L416" s="40" t="str">
        <f t="shared" si="20"/>
        <v/>
      </c>
    </row>
    <row r="417" spans="1:12" x14ac:dyDescent="0.25">
      <c r="A417" s="41"/>
      <c r="B417" s="41"/>
      <c r="C417" s="41"/>
      <c r="D417" s="41"/>
      <c r="E417" s="41"/>
      <c r="F417" s="83"/>
      <c r="G417" s="41"/>
      <c r="H417" s="48"/>
      <c r="I417" s="48"/>
      <c r="J417" s="41" t="str">
        <f t="shared" si="18"/>
        <v/>
      </c>
      <c r="K417" s="98" t="str">
        <f t="shared" si="19"/>
        <v/>
      </c>
      <c r="L417" s="40" t="str">
        <f t="shared" si="20"/>
        <v/>
      </c>
    </row>
    <row r="418" spans="1:12" x14ac:dyDescent="0.25">
      <c r="A418" s="41"/>
      <c r="B418" s="41"/>
      <c r="C418" s="41"/>
      <c r="D418" s="41"/>
      <c r="E418" s="41"/>
      <c r="F418" s="83"/>
      <c r="G418" s="41"/>
      <c r="H418" s="48"/>
      <c r="I418" s="48"/>
      <c r="J418" s="41" t="str">
        <f t="shared" si="18"/>
        <v/>
      </c>
      <c r="K418" s="98" t="str">
        <f t="shared" si="19"/>
        <v/>
      </c>
      <c r="L418" s="40" t="str">
        <f t="shared" si="20"/>
        <v/>
      </c>
    </row>
    <row r="419" spans="1:12" x14ac:dyDescent="0.25">
      <c r="A419" s="41"/>
      <c r="B419" s="41"/>
      <c r="C419" s="41"/>
      <c r="D419" s="41"/>
      <c r="E419" s="41"/>
      <c r="F419" s="83"/>
      <c r="G419" s="41"/>
      <c r="H419" s="48"/>
      <c r="I419" s="48"/>
      <c r="J419" s="41" t="str">
        <f t="shared" si="18"/>
        <v/>
      </c>
      <c r="K419" s="98" t="str">
        <f t="shared" si="19"/>
        <v/>
      </c>
      <c r="L419" s="40" t="str">
        <f t="shared" si="20"/>
        <v/>
      </c>
    </row>
    <row r="420" spans="1:12" x14ac:dyDescent="0.25">
      <c r="A420" s="41"/>
      <c r="B420" s="41"/>
      <c r="C420" s="41"/>
      <c r="D420" s="41"/>
      <c r="E420" s="41"/>
      <c r="F420" s="83"/>
      <c r="G420" s="41"/>
      <c r="H420" s="48"/>
      <c r="I420" s="48"/>
      <c r="J420" s="41" t="str">
        <f t="shared" si="18"/>
        <v/>
      </c>
      <c r="K420" s="98" t="str">
        <f t="shared" si="19"/>
        <v/>
      </c>
      <c r="L420" s="40" t="str">
        <f t="shared" si="20"/>
        <v/>
      </c>
    </row>
    <row r="421" spans="1:12" x14ac:dyDescent="0.25">
      <c r="A421" s="41"/>
      <c r="B421" s="41"/>
      <c r="C421" s="41"/>
      <c r="D421" s="41"/>
      <c r="E421" s="41"/>
      <c r="F421" s="83"/>
      <c r="G421" s="41"/>
      <c r="H421" s="48"/>
      <c r="I421" s="48"/>
      <c r="J421" s="41" t="str">
        <f t="shared" si="18"/>
        <v/>
      </c>
      <c r="K421" s="98" t="str">
        <f t="shared" si="19"/>
        <v/>
      </c>
      <c r="L421" s="40" t="str">
        <f t="shared" si="20"/>
        <v/>
      </c>
    </row>
    <row r="422" spans="1:12" x14ac:dyDescent="0.25">
      <c r="A422" s="41"/>
      <c r="B422" s="41"/>
      <c r="C422" s="41"/>
      <c r="D422" s="41"/>
      <c r="E422" s="41"/>
      <c r="F422" s="83"/>
      <c r="G422" s="41"/>
      <c r="H422" s="48"/>
      <c r="I422" s="48"/>
      <c r="J422" s="41" t="str">
        <f t="shared" si="18"/>
        <v/>
      </c>
      <c r="K422" s="98" t="str">
        <f t="shared" si="19"/>
        <v/>
      </c>
      <c r="L422" s="40" t="str">
        <f t="shared" si="20"/>
        <v/>
      </c>
    </row>
    <row r="423" spans="1:12" x14ac:dyDescent="0.25">
      <c r="A423" s="41"/>
      <c r="B423" s="41"/>
      <c r="C423" s="41"/>
      <c r="D423" s="41"/>
      <c r="E423" s="41"/>
      <c r="F423" s="83"/>
      <c r="G423" s="41"/>
      <c r="H423" s="48"/>
      <c r="I423" s="48"/>
      <c r="J423" s="41" t="str">
        <f t="shared" si="18"/>
        <v/>
      </c>
      <c r="K423" s="98" t="str">
        <f t="shared" si="19"/>
        <v/>
      </c>
      <c r="L423" s="40" t="str">
        <f t="shared" si="20"/>
        <v/>
      </c>
    </row>
    <row r="424" spans="1:12" x14ac:dyDescent="0.25">
      <c r="A424" s="41"/>
      <c r="B424" s="41"/>
      <c r="C424" s="41"/>
      <c r="D424" s="41"/>
      <c r="E424" s="41"/>
      <c r="F424" s="83"/>
      <c r="G424" s="41"/>
      <c r="H424" s="48"/>
      <c r="I424" s="48"/>
      <c r="J424" s="41" t="str">
        <f t="shared" si="18"/>
        <v/>
      </c>
      <c r="K424" s="98" t="str">
        <f t="shared" si="19"/>
        <v/>
      </c>
      <c r="L424" s="40" t="str">
        <f t="shared" si="20"/>
        <v/>
      </c>
    </row>
    <row r="425" spans="1:12" x14ac:dyDescent="0.25">
      <c r="A425" s="41"/>
      <c r="B425" s="41"/>
      <c r="C425" s="41"/>
      <c r="D425" s="41"/>
      <c r="E425" s="41"/>
      <c r="F425" s="83"/>
      <c r="G425" s="41"/>
      <c r="H425" s="48"/>
      <c r="I425" s="48"/>
      <c r="J425" s="41" t="str">
        <f t="shared" si="18"/>
        <v/>
      </c>
      <c r="K425" s="98" t="str">
        <f t="shared" si="19"/>
        <v/>
      </c>
      <c r="L425" s="40" t="str">
        <f t="shared" si="20"/>
        <v/>
      </c>
    </row>
    <row r="426" spans="1:12" x14ac:dyDescent="0.25">
      <c r="A426" s="41"/>
      <c r="B426" s="41"/>
      <c r="C426" s="41"/>
      <c r="D426" s="41"/>
      <c r="E426" s="41"/>
      <c r="F426" s="83"/>
      <c r="G426" s="41"/>
      <c r="H426" s="48"/>
      <c r="I426" s="48"/>
      <c r="J426" s="41" t="str">
        <f t="shared" si="18"/>
        <v/>
      </c>
      <c r="K426" s="98" t="str">
        <f t="shared" si="19"/>
        <v/>
      </c>
      <c r="L426" s="40" t="str">
        <f t="shared" si="20"/>
        <v/>
      </c>
    </row>
    <row r="427" spans="1:12" x14ac:dyDescent="0.25">
      <c r="A427" s="41"/>
      <c r="B427" s="41"/>
      <c r="C427" s="41"/>
      <c r="D427" s="41"/>
      <c r="E427" s="41"/>
      <c r="F427" s="83"/>
      <c r="G427" s="41"/>
      <c r="H427" s="48"/>
      <c r="I427" s="48"/>
      <c r="J427" s="41" t="str">
        <f t="shared" si="18"/>
        <v/>
      </c>
      <c r="K427" s="98" t="str">
        <f t="shared" si="19"/>
        <v/>
      </c>
      <c r="L427" s="40" t="str">
        <f t="shared" si="20"/>
        <v/>
      </c>
    </row>
    <row r="428" spans="1:12" x14ac:dyDescent="0.25">
      <c r="A428" s="41"/>
      <c r="B428" s="41"/>
      <c r="C428" s="41"/>
      <c r="D428" s="41"/>
      <c r="E428" s="41"/>
      <c r="F428" s="83"/>
      <c r="G428" s="41"/>
      <c r="H428" s="48"/>
      <c r="I428" s="48"/>
      <c r="J428" s="41" t="str">
        <f t="shared" si="18"/>
        <v/>
      </c>
      <c r="K428" s="98" t="str">
        <f t="shared" si="19"/>
        <v/>
      </c>
      <c r="L428" s="40" t="str">
        <f t="shared" si="20"/>
        <v/>
      </c>
    </row>
    <row r="429" spans="1:12" x14ac:dyDescent="0.25">
      <c r="A429" s="41"/>
      <c r="B429" s="41"/>
      <c r="C429" s="41"/>
      <c r="D429" s="41"/>
      <c r="E429" s="41"/>
      <c r="F429" s="83"/>
      <c r="G429" s="41"/>
      <c r="H429" s="48"/>
      <c r="I429" s="48"/>
      <c r="J429" s="41" t="str">
        <f t="shared" si="18"/>
        <v/>
      </c>
      <c r="K429" s="98" t="str">
        <f t="shared" si="19"/>
        <v/>
      </c>
      <c r="L429" s="40" t="str">
        <f t="shared" si="20"/>
        <v/>
      </c>
    </row>
    <row r="430" spans="1:12" x14ac:dyDescent="0.25">
      <c r="A430" s="41"/>
      <c r="B430" s="41"/>
      <c r="C430" s="41"/>
      <c r="D430" s="41"/>
      <c r="E430" s="41"/>
      <c r="F430" s="83"/>
      <c r="G430" s="41"/>
      <c r="H430" s="48"/>
      <c r="I430" s="48"/>
      <c r="J430" s="41" t="str">
        <f t="shared" si="18"/>
        <v/>
      </c>
      <c r="K430" s="98" t="str">
        <f t="shared" si="19"/>
        <v/>
      </c>
      <c r="L430" s="40" t="str">
        <f t="shared" si="20"/>
        <v/>
      </c>
    </row>
    <row r="431" spans="1:12" x14ac:dyDescent="0.25">
      <c r="A431" s="41"/>
      <c r="B431" s="41"/>
      <c r="C431" s="41"/>
      <c r="D431" s="41"/>
      <c r="E431" s="41"/>
      <c r="F431" s="83"/>
      <c r="G431" s="41"/>
      <c r="H431" s="48"/>
      <c r="I431" s="48"/>
      <c r="J431" s="41" t="str">
        <f t="shared" si="18"/>
        <v/>
      </c>
      <c r="K431" s="98" t="str">
        <f t="shared" si="19"/>
        <v/>
      </c>
      <c r="L431" s="40" t="str">
        <f t="shared" si="20"/>
        <v/>
      </c>
    </row>
    <row r="432" spans="1:12" x14ac:dyDescent="0.25">
      <c r="A432" s="41"/>
      <c r="B432" s="41"/>
      <c r="C432" s="41"/>
      <c r="D432" s="41"/>
      <c r="E432" s="41"/>
      <c r="F432" s="83"/>
      <c r="G432" s="41"/>
      <c r="H432" s="48"/>
      <c r="I432" s="48"/>
      <c r="J432" s="41" t="str">
        <f t="shared" si="18"/>
        <v/>
      </c>
      <c r="K432" s="98" t="str">
        <f t="shared" si="19"/>
        <v/>
      </c>
      <c r="L432" s="40" t="str">
        <f t="shared" si="20"/>
        <v/>
      </c>
    </row>
    <row r="433" spans="1:12" x14ac:dyDescent="0.25">
      <c r="A433" s="41"/>
      <c r="B433" s="41"/>
      <c r="C433" s="41"/>
      <c r="D433" s="41"/>
      <c r="E433" s="41"/>
      <c r="F433" s="83"/>
      <c r="G433" s="41"/>
      <c r="H433" s="48"/>
      <c r="I433" s="48"/>
      <c r="J433" s="41" t="str">
        <f t="shared" si="18"/>
        <v/>
      </c>
      <c r="K433" s="98" t="str">
        <f t="shared" si="19"/>
        <v/>
      </c>
      <c r="L433" s="40" t="str">
        <f t="shared" si="20"/>
        <v/>
      </c>
    </row>
    <row r="434" spans="1:12" x14ac:dyDescent="0.25">
      <c r="A434" s="41"/>
      <c r="B434" s="41"/>
      <c r="C434" s="41"/>
      <c r="D434" s="41"/>
      <c r="E434" s="41"/>
      <c r="F434" s="83"/>
      <c r="G434" s="41"/>
      <c r="H434" s="48"/>
      <c r="I434" s="48"/>
      <c r="J434" s="41" t="str">
        <f t="shared" si="18"/>
        <v/>
      </c>
      <c r="K434" s="98" t="str">
        <f t="shared" si="19"/>
        <v/>
      </c>
      <c r="L434" s="40" t="str">
        <f t="shared" si="20"/>
        <v/>
      </c>
    </row>
    <row r="435" spans="1:12" x14ac:dyDescent="0.25">
      <c r="A435" s="41"/>
      <c r="B435" s="41"/>
      <c r="C435" s="41"/>
      <c r="D435" s="41"/>
      <c r="E435" s="41"/>
      <c r="F435" s="83"/>
      <c r="G435" s="41"/>
      <c r="H435" s="48"/>
      <c r="I435" s="48"/>
      <c r="J435" s="41" t="str">
        <f t="shared" si="18"/>
        <v/>
      </c>
      <c r="K435" s="98" t="str">
        <f t="shared" si="19"/>
        <v/>
      </c>
      <c r="L435" s="40" t="str">
        <f t="shared" si="20"/>
        <v/>
      </c>
    </row>
    <row r="436" spans="1:12" x14ac:dyDescent="0.25">
      <c r="A436" s="41"/>
      <c r="B436" s="41"/>
      <c r="C436" s="41"/>
      <c r="D436" s="41"/>
      <c r="E436" s="41"/>
      <c r="F436" s="83"/>
      <c r="G436" s="41"/>
      <c r="H436" s="48"/>
      <c r="I436" s="48"/>
      <c r="J436" s="41" t="str">
        <f t="shared" si="18"/>
        <v/>
      </c>
      <c r="K436" s="98" t="str">
        <f t="shared" si="19"/>
        <v/>
      </c>
      <c r="L436" s="40" t="str">
        <f t="shared" si="20"/>
        <v/>
      </c>
    </row>
    <row r="437" spans="1:12" x14ac:dyDescent="0.25">
      <c r="A437" s="41"/>
      <c r="B437" s="41"/>
      <c r="C437" s="41"/>
      <c r="D437" s="41"/>
      <c r="E437" s="41"/>
      <c r="F437" s="83"/>
      <c r="G437" s="41"/>
      <c r="H437" s="48"/>
      <c r="I437" s="48"/>
      <c r="J437" s="41" t="str">
        <f t="shared" si="18"/>
        <v/>
      </c>
      <c r="K437" s="98" t="str">
        <f t="shared" si="19"/>
        <v/>
      </c>
      <c r="L437" s="40" t="str">
        <f t="shared" si="20"/>
        <v/>
      </c>
    </row>
    <row r="438" spans="1:12" x14ac:dyDescent="0.25">
      <c r="A438" s="41"/>
      <c r="B438" s="41"/>
      <c r="C438" s="41"/>
      <c r="D438" s="41"/>
      <c r="E438" s="41"/>
      <c r="F438" s="83"/>
      <c r="G438" s="41"/>
      <c r="H438" s="48"/>
      <c r="I438" s="48"/>
      <c r="J438" s="41" t="str">
        <f t="shared" si="18"/>
        <v/>
      </c>
      <c r="K438" s="98" t="str">
        <f t="shared" si="19"/>
        <v/>
      </c>
      <c r="L438" s="40" t="str">
        <f t="shared" si="20"/>
        <v/>
      </c>
    </row>
    <row r="439" spans="1:12" x14ac:dyDescent="0.25">
      <c r="A439" s="41"/>
      <c r="B439" s="41"/>
      <c r="C439" s="41"/>
      <c r="D439" s="41"/>
      <c r="E439" s="41"/>
      <c r="F439" s="83"/>
      <c r="G439" s="41"/>
      <c r="H439" s="48"/>
      <c r="I439" s="48"/>
      <c r="J439" s="41" t="str">
        <f t="shared" si="18"/>
        <v/>
      </c>
      <c r="K439" s="98" t="str">
        <f t="shared" si="19"/>
        <v/>
      </c>
      <c r="L439" s="40" t="str">
        <f t="shared" si="20"/>
        <v/>
      </c>
    </row>
    <row r="440" spans="1:12" x14ac:dyDescent="0.25">
      <c r="A440" s="41"/>
      <c r="B440" s="41"/>
      <c r="C440" s="41"/>
      <c r="D440" s="41"/>
      <c r="E440" s="41"/>
      <c r="F440" s="83"/>
      <c r="G440" s="41"/>
      <c r="H440" s="48"/>
      <c r="I440" s="48"/>
      <c r="J440" s="41" t="str">
        <f t="shared" si="18"/>
        <v/>
      </c>
      <c r="K440" s="98" t="str">
        <f t="shared" si="19"/>
        <v/>
      </c>
      <c r="L440" s="40" t="str">
        <f t="shared" si="20"/>
        <v/>
      </c>
    </row>
    <row r="441" spans="1:12" x14ac:dyDescent="0.25">
      <c r="A441" s="41"/>
      <c r="B441" s="41"/>
      <c r="C441" s="41"/>
      <c r="D441" s="41"/>
      <c r="E441" s="41"/>
      <c r="F441" s="83"/>
      <c r="G441" s="41"/>
      <c r="H441" s="48"/>
      <c r="I441" s="48"/>
      <c r="J441" s="41" t="str">
        <f t="shared" si="18"/>
        <v/>
      </c>
      <c r="K441" s="98" t="str">
        <f t="shared" si="19"/>
        <v/>
      </c>
      <c r="L441" s="40" t="str">
        <f t="shared" si="20"/>
        <v/>
      </c>
    </row>
    <row r="442" spans="1:12" x14ac:dyDescent="0.25">
      <c r="A442" s="41"/>
      <c r="B442" s="41"/>
      <c r="C442" s="41"/>
      <c r="D442" s="41"/>
      <c r="E442" s="41"/>
      <c r="F442" s="83"/>
      <c r="G442" s="41"/>
      <c r="H442" s="48"/>
      <c r="I442" s="48"/>
      <c r="J442" s="41" t="str">
        <f t="shared" si="18"/>
        <v/>
      </c>
      <c r="K442" s="98" t="str">
        <f t="shared" si="19"/>
        <v/>
      </c>
      <c r="L442" s="40" t="str">
        <f t="shared" si="20"/>
        <v/>
      </c>
    </row>
    <row r="443" spans="1:12" x14ac:dyDescent="0.25">
      <c r="A443" s="41"/>
      <c r="B443" s="41"/>
      <c r="C443" s="41"/>
      <c r="D443" s="41"/>
      <c r="E443" s="41"/>
      <c r="F443" s="83"/>
      <c r="G443" s="41"/>
      <c r="H443" s="48"/>
      <c r="I443" s="48"/>
      <c r="J443" s="41" t="str">
        <f t="shared" si="18"/>
        <v/>
      </c>
      <c r="K443" s="98" t="str">
        <f t="shared" si="19"/>
        <v/>
      </c>
      <c r="L443" s="40" t="str">
        <f t="shared" si="20"/>
        <v/>
      </c>
    </row>
    <row r="444" spans="1:12" x14ac:dyDescent="0.25">
      <c r="A444" s="41"/>
      <c r="B444" s="41"/>
      <c r="C444" s="41"/>
      <c r="D444" s="41"/>
      <c r="E444" s="41"/>
      <c r="F444" s="83"/>
      <c r="G444" s="41"/>
      <c r="H444" s="48"/>
      <c r="I444" s="48"/>
      <c r="J444" s="41" t="str">
        <f t="shared" si="18"/>
        <v/>
      </c>
      <c r="K444" s="98" t="str">
        <f t="shared" si="19"/>
        <v/>
      </c>
      <c r="L444" s="40" t="str">
        <f t="shared" si="20"/>
        <v/>
      </c>
    </row>
    <row r="445" spans="1:12" x14ac:dyDescent="0.25">
      <c r="A445" s="41"/>
      <c r="B445" s="41"/>
      <c r="C445" s="41"/>
      <c r="D445" s="41"/>
      <c r="E445" s="41"/>
      <c r="F445" s="83"/>
      <c r="G445" s="41"/>
      <c r="H445" s="48"/>
      <c r="I445" s="48"/>
      <c r="J445" s="41" t="str">
        <f t="shared" si="18"/>
        <v/>
      </c>
      <c r="K445" s="98" t="str">
        <f t="shared" si="19"/>
        <v/>
      </c>
      <c r="L445" s="40" t="str">
        <f t="shared" si="20"/>
        <v/>
      </c>
    </row>
    <row r="446" spans="1:12" x14ac:dyDescent="0.25">
      <c r="A446" s="41"/>
      <c r="B446" s="41"/>
      <c r="C446" s="41"/>
      <c r="D446" s="41"/>
      <c r="E446" s="41"/>
      <c r="F446" s="83"/>
      <c r="G446" s="41"/>
      <c r="H446" s="48"/>
      <c r="I446" s="48"/>
      <c r="J446" s="41" t="str">
        <f t="shared" si="18"/>
        <v/>
      </c>
      <c r="K446" s="98" t="str">
        <f t="shared" si="19"/>
        <v/>
      </c>
      <c r="L446" s="40" t="str">
        <f t="shared" si="20"/>
        <v/>
      </c>
    </row>
    <row r="447" spans="1:12" x14ac:dyDescent="0.25">
      <c r="A447" s="41"/>
      <c r="B447" s="41"/>
      <c r="C447" s="41"/>
      <c r="D447" s="41"/>
      <c r="E447" s="41"/>
      <c r="F447" s="83"/>
      <c r="G447" s="41"/>
      <c r="H447" s="48"/>
      <c r="I447" s="48"/>
      <c r="J447" s="41" t="str">
        <f t="shared" si="18"/>
        <v/>
      </c>
      <c r="K447" s="98" t="str">
        <f t="shared" si="19"/>
        <v/>
      </c>
      <c r="L447" s="40" t="str">
        <f t="shared" si="20"/>
        <v/>
      </c>
    </row>
    <row r="448" spans="1:12" x14ac:dyDescent="0.25">
      <c r="A448" s="41"/>
      <c r="B448" s="41"/>
      <c r="C448" s="41"/>
      <c r="D448" s="41"/>
      <c r="E448" s="41"/>
      <c r="F448" s="83"/>
      <c r="G448" s="41"/>
      <c r="H448" s="48"/>
      <c r="I448" s="48"/>
      <c r="J448" s="41" t="str">
        <f t="shared" si="18"/>
        <v/>
      </c>
      <c r="K448" s="98" t="str">
        <f t="shared" si="19"/>
        <v/>
      </c>
      <c r="L448" s="40" t="str">
        <f t="shared" si="20"/>
        <v/>
      </c>
    </row>
    <row r="449" spans="1:12" x14ac:dyDescent="0.25">
      <c r="A449" s="41"/>
      <c r="B449" s="41"/>
      <c r="C449" s="41"/>
      <c r="D449" s="41"/>
      <c r="E449" s="41"/>
      <c r="F449" s="83"/>
      <c r="G449" s="41"/>
      <c r="H449" s="48"/>
      <c r="I449" s="48"/>
      <c r="J449" s="41" t="str">
        <f t="shared" si="18"/>
        <v/>
      </c>
      <c r="K449" s="98" t="str">
        <f t="shared" si="19"/>
        <v/>
      </c>
      <c r="L449" s="40" t="str">
        <f t="shared" si="20"/>
        <v/>
      </c>
    </row>
    <row r="450" spans="1:12" x14ac:dyDescent="0.25">
      <c r="A450" s="41"/>
      <c r="B450" s="41"/>
      <c r="C450" s="41"/>
      <c r="D450" s="41"/>
      <c r="E450" s="41"/>
      <c r="F450" s="83"/>
      <c r="G450" s="41"/>
      <c r="H450" s="48"/>
      <c r="I450" s="48"/>
      <c r="J450" s="41" t="str">
        <f t="shared" si="18"/>
        <v/>
      </c>
      <c r="K450" s="98" t="str">
        <f t="shared" si="19"/>
        <v/>
      </c>
      <c r="L450" s="40" t="str">
        <f t="shared" si="20"/>
        <v/>
      </c>
    </row>
    <row r="451" spans="1:12" x14ac:dyDescent="0.25">
      <c r="A451" s="41"/>
      <c r="B451" s="41"/>
      <c r="C451" s="41"/>
      <c r="D451" s="41"/>
      <c r="E451" s="41"/>
      <c r="F451" s="83"/>
      <c r="G451" s="41"/>
      <c r="H451" s="48"/>
      <c r="I451" s="48"/>
      <c r="J451" s="41" t="str">
        <f t="shared" si="18"/>
        <v/>
      </c>
      <c r="K451" s="98" t="str">
        <f t="shared" si="19"/>
        <v/>
      </c>
      <c r="L451" s="40" t="str">
        <f t="shared" si="20"/>
        <v/>
      </c>
    </row>
    <row r="452" spans="1:12" x14ac:dyDescent="0.25">
      <c r="A452" s="41"/>
      <c r="B452" s="41"/>
      <c r="C452" s="41"/>
      <c r="D452" s="41"/>
      <c r="E452" s="41"/>
      <c r="F452" s="83"/>
      <c r="G452" s="41"/>
      <c r="H452" s="48"/>
      <c r="I452" s="48"/>
      <c r="J452" s="41" t="str">
        <f t="shared" si="18"/>
        <v/>
      </c>
      <c r="K452" s="98" t="str">
        <f t="shared" si="19"/>
        <v/>
      </c>
      <c r="L452" s="40" t="str">
        <f t="shared" si="20"/>
        <v/>
      </c>
    </row>
    <row r="453" spans="1:12" x14ac:dyDescent="0.25">
      <c r="A453" s="41"/>
      <c r="B453" s="41"/>
      <c r="C453" s="41"/>
      <c r="D453" s="41"/>
      <c r="E453" s="41"/>
      <c r="F453" s="83"/>
      <c r="G453" s="41"/>
      <c r="H453" s="48"/>
      <c r="I453" s="48"/>
      <c r="J453" s="41" t="str">
        <f t="shared" si="18"/>
        <v/>
      </c>
      <c r="K453" s="98" t="str">
        <f t="shared" si="19"/>
        <v/>
      </c>
      <c r="L453" s="40" t="str">
        <f t="shared" si="20"/>
        <v/>
      </c>
    </row>
    <row r="454" spans="1:12" x14ac:dyDescent="0.25">
      <c r="A454" s="41"/>
      <c r="B454" s="41"/>
      <c r="C454" s="41"/>
      <c r="D454" s="41"/>
      <c r="E454" s="41"/>
      <c r="F454" s="83"/>
      <c r="G454" s="41"/>
      <c r="H454" s="48"/>
      <c r="I454" s="48"/>
      <c r="J454" s="41" t="str">
        <f t="shared" si="18"/>
        <v/>
      </c>
      <c r="K454" s="98" t="str">
        <f t="shared" si="19"/>
        <v/>
      </c>
      <c r="L454" s="40" t="str">
        <f t="shared" si="20"/>
        <v/>
      </c>
    </row>
    <row r="455" spans="1:12" x14ac:dyDescent="0.25">
      <c r="A455" s="41"/>
      <c r="B455" s="41"/>
      <c r="C455" s="41"/>
      <c r="D455" s="41"/>
      <c r="E455" s="41"/>
      <c r="F455" s="83"/>
      <c r="G455" s="41"/>
      <c r="H455" s="48"/>
      <c r="I455" s="48"/>
      <c r="J455" s="41" t="str">
        <f t="shared" si="18"/>
        <v/>
      </c>
      <c r="K455" s="98" t="str">
        <f t="shared" si="19"/>
        <v/>
      </c>
      <c r="L455" s="40" t="str">
        <f t="shared" si="20"/>
        <v/>
      </c>
    </row>
    <row r="456" spans="1:12" x14ac:dyDescent="0.25">
      <c r="A456" s="41"/>
      <c r="B456" s="41"/>
      <c r="C456" s="41"/>
      <c r="D456" s="41"/>
      <c r="E456" s="41"/>
      <c r="F456" s="83"/>
      <c r="G456" s="41"/>
      <c r="H456" s="48"/>
      <c r="I456" s="48"/>
      <c r="J456" s="41" t="str">
        <f t="shared" si="18"/>
        <v/>
      </c>
      <c r="K456" s="98" t="str">
        <f t="shared" si="19"/>
        <v/>
      </c>
      <c r="L456" s="40" t="str">
        <f t="shared" si="20"/>
        <v/>
      </c>
    </row>
    <row r="457" spans="1:12" x14ac:dyDescent="0.25">
      <c r="A457" s="41"/>
      <c r="B457" s="41"/>
      <c r="C457" s="41"/>
      <c r="D457" s="41"/>
      <c r="E457" s="41"/>
      <c r="F457" s="83"/>
      <c r="G457" s="41"/>
      <c r="H457" s="48"/>
      <c r="I457" s="48"/>
      <c r="J457" s="41" t="str">
        <f t="shared" si="18"/>
        <v/>
      </c>
      <c r="K457" s="98" t="str">
        <f t="shared" si="19"/>
        <v/>
      </c>
      <c r="L457" s="40" t="str">
        <f t="shared" si="20"/>
        <v/>
      </c>
    </row>
    <row r="458" spans="1:12" x14ac:dyDescent="0.25">
      <c r="A458" s="41"/>
      <c r="B458" s="41"/>
      <c r="C458" s="41"/>
      <c r="D458" s="41"/>
      <c r="E458" s="41"/>
      <c r="F458" s="83"/>
      <c r="G458" s="41"/>
      <c r="H458" s="48"/>
      <c r="I458" s="48"/>
      <c r="J458" s="41" t="str">
        <f t="shared" ref="J458:J521" si="21">IFERROR(IF(NOT(ISNUMBER(H458)),"",IF(I458="","ABSENT/NO-SUBMISSION",IF(I458&lt;K458,"No Improvement, Previous marks be assigned.", "Marks Improved"))),"")</f>
        <v/>
      </c>
      <c r="K458" s="98" t="str">
        <f t="shared" ref="K458:K521" si="22">IFERROR(VALUE(MID(F458,6,FIND("%",F458)-6))*H458/100,"")</f>
        <v/>
      </c>
      <c r="L458" s="40" t="str">
        <f t="shared" ref="L458:L521" si="23">IF(AND(G458&lt;&gt;"REPEAT COARSE",A458&lt;&gt;""),"CASE#"&amp; A458&amp;": "&amp;"It is to Inform that you have failed "&amp;E458&amp;" due to "&amp;F458&amp;" percentages. You are required to "&amp;VLOOKUP(G458,$AA$1:$AD$30,2,FALSE) &amp;" " &amp;G458&amp;VLOOKUP(G458,$AA$1:$AD$30,3,FALSE),IF(A458&lt;&gt;"","CASE#"&amp; A458&amp;": "&amp;"It is to Inform that you have failed "&amp;E458&amp;" due to "&amp;F458&amp;" percentages. You are required to  "&amp;G458&amp;" next time if you are interested to imporve this CLO.",""))</f>
        <v/>
      </c>
    </row>
    <row r="459" spans="1:12" x14ac:dyDescent="0.25">
      <c r="A459" s="41"/>
      <c r="B459" s="41"/>
      <c r="C459" s="41"/>
      <c r="D459" s="41"/>
      <c r="E459" s="41"/>
      <c r="F459" s="83"/>
      <c r="G459" s="41"/>
      <c r="H459" s="48"/>
      <c r="I459" s="48"/>
      <c r="J459" s="41" t="str">
        <f t="shared" si="21"/>
        <v/>
      </c>
      <c r="K459" s="98" t="str">
        <f t="shared" si="22"/>
        <v/>
      </c>
      <c r="L459" s="40" t="str">
        <f t="shared" si="23"/>
        <v/>
      </c>
    </row>
    <row r="460" spans="1:12" x14ac:dyDescent="0.25">
      <c r="A460" s="41"/>
      <c r="B460" s="41"/>
      <c r="C460" s="41"/>
      <c r="D460" s="41"/>
      <c r="E460" s="41"/>
      <c r="F460" s="83"/>
      <c r="G460" s="41"/>
      <c r="H460" s="48"/>
      <c r="I460" s="48"/>
      <c r="J460" s="41" t="str">
        <f t="shared" si="21"/>
        <v/>
      </c>
      <c r="K460" s="98" t="str">
        <f t="shared" si="22"/>
        <v/>
      </c>
      <c r="L460" s="40" t="str">
        <f t="shared" si="23"/>
        <v/>
      </c>
    </row>
    <row r="461" spans="1:12" x14ac:dyDescent="0.25">
      <c r="A461" s="41"/>
      <c r="B461" s="41"/>
      <c r="C461" s="41"/>
      <c r="D461" s="41"/>
      <c r="E461" s="41"/>
      <c r="F461" s="83"/>
      <c r="G461" s="41"/>
      <c r="H461" s="48"/>
      <c r="I461" s="48"/>
      <c r="J461" s="41" t="str">
        <f t="shared" si="21"/>
        <v/>
      </c>
      <c r="K461" s="98" t="str">
        <f t="shared" si="22"/>
        <v/>
      </c>
      <c r="L461" s="40" t="str">
        <f t="shared" si="23"/>
        <v/>
      </c>
    </row>
    <row r="462" spans="1:12" x14ac:dyDescent="0.25">
      <c r="A462" s="41"/>
      <c r="B462" s="41"/>
      <c r="C462" s="41"/>
      <c r="D462" s="41"/>
      <c r="E462" s="41"/>
      <c r="F462" s="83"/>
      <c r="G462" s="41"/>
      <c r="H462" s="48"/>
      <c r="I462" s="48"/>
      <c r="J462" s="41" t="str">
        <f t="shared" si="21"/>
        <v/>
      </c>
      <c r="K462" s="98" t="str">
        <f t="shared" si="22"/>
        <v/>
      </c>
      <c r="L462" s="40" t="str">
        <f t="shared" si="23"/>
        <v/>
      </c>
    </row>
    <row r="463" spans="1:12" x14ac:dyDescent="0.25">
      <c r="A463" s="41"/>
      <c r="B463" s="41"/>
      <c r="C463" s="41"/>
      <c r="D463" s="41"/>
      <c r="E463" s="41"/>
      <c r="F463" s="83"/>
      <c r="G463" s="41"/>
      <c r="H463" s="48"/>
      <c r="I463" s="48"/>
      <c r="J463" s="41" t="str">
        <f t="shared" si="21"/>
        <v/>
      </c>
      <c r="K463" s="98" t="str">
        <f t="shared" si="22"/>
        <v/>
      </c>
      <c r="L463" s="40" t="str">
        <f t="shared" si="23"/>
        <v/>
      </c>
    </row>
    <row r="464" spans="1:12" x14ac:dyDescent="0.25">
      <c r="A464" s="41"/>
      <c r="B464" s="41"/>
      <c r="C464" s="41"/>
      <c r="D464" s="41"/>
      <c r="E464" s="41"/>
      <c r="F464" s="83"/>
      <c r="G464" s="41"/>
      <c r="H464" s="48"/>
      <c r="I464" s="48"/>
      <c r="J464" s="41" t="str">
        <f t="shared" si="21"/>
        <v/>
      </c>
      <c r="K464" s="98" t="str">
        <f t="shared" si="22"/>
        <v/>
      </c>
      <c r="L464" s="40" t="str">
        <f t="shared" si="23"/>
        <v/>
      </c>
    </row>
    <row r="465" spans="1:12" x14ac:dyDescent="0.25">
      <c r="A465" s="41"/>
      <c r="B465" s="41"/>
      <c r="C465" s="41"/>
      <c r="D465" s="41"/>
      <c r="E465" s="41"/>
      <c r="F465" s="83"/>
      <c r="G465" s="41"/>
      <c r="H465" s="48"/>
      <c r="I465" s="48"/>
      <c r="J465" s="41" t="str">
        <f t="shared" si="21"/>
        <v/>
      </c>
      <c r="K465" s="98" t="str">
        <f t="shared" si="22"/>
        <v/>
      </c>
      <c r="L465" s="40" t="str">
        <f t="shared" si="23"/>
        <v/>
      </c>
    </row>
    <row r="466" spans="1:12" x14ac:dyDescent="0.25">
      <c r="A466" s="41"/>
      <c r="B466" s="41"/>
      <c r="C466" s="41"/>
      <c r="D466" s="41"/>
      <c r="E466" s="41"/>
      <c r="F466" s="83"/>
      <c r="G466" s="41"/>
      <c r="H466" s="48"/>
      <c r="I466" s="48"/>
      <c r="J466" s="41" t="str">
        <f t="shared" si="21"/>
        <v/>
      </c>
      <c r="K466" s="98" t="str">
        <f t="shared" si="22"/>
        <v/>
      </c>
      <c r="L466" s="40" t="str">
        <f t="shared" si="23"/>
        <v/>
      </c>
    </row>
    <row r="467" spans="1:12" x14ac:dyDescent="0.25">
      <c r="A467" s="41"/>
      <c r="B467" s="41"/>
      <c r="C467" s="41"/>
      <c r="D467" s="41"/>
      <c r="E467" s="41"/>
      <c r="F467" s="83"/>
      <c r="G467" s="41"/>
      <c r="H467" s="48"/>
      <c r="I467" s="48"/>
      <c r="J467" s="41" t="str">
        <f t="shared" si="21"/>
        <v/>
      </c>
      <c r="K467" s="98" t="str">
        <f t="shared" si="22"/>
        <v/>
      </c>
      <c r="L467" s="40" t="str">
        <f t="shared" si="23"/>
        <v/>
      </c>
    </row>
    <row r="468" spans="1:12" x14ac:dyDescent="0.25">
      <c r="A468" s="41"/>
      <c r="B468" s="41"/>
      <c r="C468" s="41"/>
      <c r="D468" s="41"/>
      <c r="E468" s="41"/>
      <c r="F468" s="83"/>
      <c r="G468" s="41"/>
      <c r="H468" s="48"/>
      <c r="I468" s="48"/>
      <c r="J468" s="41" t="str">
        <f t="shared" si="21"/>
        <v/>
      </c>
      <c r="K468" s="98" t="str">
        <f t="shared" si="22"/>
        <v/>
      </c>
      <c r="L468" s="40" t="str">
        <f t="shared" si="23"/>
        <v/>
      </c>
    </row>
    <row r="469" spans="1:12" x14ac:dyDescent="0.25">
      <c r="A469" s="41"/>
      <c r="B469" s="41"/>
      <c r="C469" s="41"/>
      <c r="D469" s="41"/>
      <c r="E469" s="41"/>
      <c r="F469" s="83"/>
      <c r="G469" s="41"/>
      <c r="H469" s="48"/>
      <c r="I469" s="48"/>
      <c r="J469" s="41" t="str">
        <f t="shared" si="21"/>
        <v/>
      </c>
      <c r="K469" s="98" t="str">
        <f t="shared" si="22"/>
        <v/>
      </c>
      <c r="L469" s="40" t="str">
        <f t="shared" si="23"/>
        <v/>
      </c>
    </row>
    <row r="470" spans="1:12" x14ac:dyDescent="0.25">
      <c r="A470" s="41"/>
      <c r="B470" s="41"/>
      <c r="C470" s="41"/>
      <c r="D470" s="41"/>
      <c r="E470" s="41"/>
      <c r="F470" s="83"/>
      <c r="G470" s="41"/>
      <c r="H470" s="48"/>
      <c r="I470" s="48"/>
      <c r="J470" s="41" t="str">
        <f t="shared" si="21"/>
        <v/>
      </c>
      <c r="K470" s="98" t="str">
        <f t="shared" si="22"/>
        <v/>
      </c>
      <c r="L470" s="40" t="str">
        <f t="shared" si="23"/>
        <v/>
      </c>
    </row>
    <row r="471" spans="1:12" x14ac:dyDescent="0.25">
      <c r="A471" s="41"/>
      <c r="B471" s="41"/>
      <c r="C471" s="41"/>
      <c r="D471" s="41"/>
      <c r="E471" s="41"/>
      <c r="F471" s="83"/>
      <c r="G471" s="41"/>
      <c r="H471" s="48"/>
      <c r="I471" s="48"/>
      <c r="J471" s="41" t="str">
        <f t="shared" si="21"/>
        <v/>
      </c>
      <c r="K471" s="98" t="str">
        <f t="shared" si="22"/>
        <v/>
      </c>
      <c r="L471" s="40" t="str">
        <f t="shared" si="23"/>
        <v/>
      </c>
    </row>
    <row r="472" spans="1:12" x14ac:dyDescent="0.25">
      <c r="A472" s="41"/>
      <c r="B472" s="41"/>
      <c r="C472" s="41"/>
      <c r="D472" s="41"/>
      <c r="E472" s="41"/>
      <c r="F472" s="83"/>
      <c r="G472" s="41"/>
      <c r="H472" s="48"/>
      <c r="I472" s="48"/>
      <c r="J472" s="41" t="str">
        <f t="shared" si="21"/>
        <v/>
      </c>
      <c r="K472" s="98" t="str">
        <f t="shared" si="22"/>
        <v/>
      </c>
      <c r="L472" s="40" t="str">
        <f t="shared" si="23"/>
        <v/>
      </c>
    </row>
    <row r="473" spans="1:12" x14ac:dyDescent="0.25">
      <c r="A473" s="41"/>
      <c r="B473" s="41"/>
      <c r="C473" s="41"/>
      <c r="D473" s="41"/>
      <c r="E473" s="41"/>
      <c r="F473" s="83"/>
      <c r="G473" s="41"/>
      <c r="H473" s="48"/>
      <c r="I473" s="48"/>
      <c r="J473" s="41" t="str">
        <f t="shared" si="21"/>
        <v/>
      </c>
      <c r="K473" s="98" t="str">
        <f t="shared" si="22"/>
        <v/>
      </c>
      <c r="L473" s="40" t="str">
        <f t="shared" si="23"/>
        <v/>
      </c>
    </row>
    <row r="474" spans="1:12" x14ac:dyDescent="0.25">
      <c r="A474" s="41"/>
      <c r="B474" s="41"/>
      <c r="C474" s="41"/>
      <c r="D474" s="41"/>
      <c r="E474" s="41"/>
      <c r="F474" s="83"/>
      <c r="G474" s="41"/>
      <c r="H474" s="48"/>
      <c r="I474" s="48"/>
      <c r="J474" s="41" t="str">
        <f t="shared" si="21"/>
        <v/>
      </c>
      <c r="K474" s="98" t="str">
        <f t="shared" si="22"/>
        <v/>
      </c>
      <c r="L474" s="40" t="str">
        <f t="shared" si="23"/>
        <v/>
      </c>
    </row>
    <row r="475" spans="1:12" x14ac:dyDescent="0.25">
      <c r="A475" s="41"/>
      <c r="B475" s="41"/>
      <c r="C475" s="41"/>
      <c r="D475" s="41"/>
      <c r="E475" s="41"/>
      <c r="F475" s="83"/>
      <c r="G475" s="41"/>
      <c r="H475" s="48"/>
      <c r="I475" s="48"/>
      <c r="J475" s="41" t="str">
        <f t="shared" si="21"/>
        <v/>
      </c>
      <c r="K475" s="98" t="str">
        <f t="shared" si="22"/>
        <v/>
      </c>
      <c r="L475" s="40" t="str">
        <f t="shared" si="23"/>
        <v/>
      </c>
    </row>
    <row r="476" spans="1:12" x14ac:dyDescent="0.25">
      <c r="A476" s="41"/>
      <c r="B476" s="41"/>
      <c r="C476" s="41"/>
      <c r="D476" s="41"/>
      <c r="E476" s="41"/>
      <c r="F476" s="83"/>
      <c r="G476" s="41"/>
      <c r="H476" s="48"/>
      <c r="I476" s="48"/>
      <c r="J476" s="41" t="str">
        <f t="shared" si="21"/>
        <v/>
      </c>
      <c r="K476" s="98" t="str">
        <f t="shared" si="22"/>
        <v/>
      </c>
      <c r="L476" s="40" t="str">
        <f t="shared" si="23"/>
        <v/>
      </c>
    </row>
    <row r="477" spans="1:12" x14ac:dyDescent="0.25">
      <c r="A477" s="41"/>
      <c r="B477" s="41"/>
      <c r="C477" s="41"/>
      <c r="D477" s="41"/>
      <c r="E477" s="41"/>
      <c r="F477" s="83"/>
      <c r="G477" s="41"/>
      <c r="H477" s="48"/>
      <c r="I477" s="48"/>
      <c r="J477" s="41" t="str">
        <f t="shared" si="21"/>
        <v/>
      </c>
      <c r="K477" s="98" t="str">
        <f t="shared" si="22"/>
        <v/>
      </c>
      <c r="L477" s="40" t="str">
        <f t="shared" si="23"/>
        <v/>
      </c>
    </row>
    <row r="478" spans="1:12" x14ac:dyDescent="0.25">
      <c r="A478" s="41"/>
      <c r="B478" s="41"/>
      <c r="C478" s="41"/>
      <c r="D478" s="41"/>
      <c r="E478" s="41"/>
      <c r="F478" s="83"/>
      <c r="G478" s="41"/>
      <c r="H478" s="48"/>
      <c r="I478" s="48"/>
      <c r="J478" s="41" t="str">
        <f t="shared" si="21"/>
        <v/>
      </c>
      <c r="K478" s="98" t="str">
        <f t="shared" si="22"/>
        <v/>
      </c>
      <c r="L478" s="40" t="str">
        <f t="shared" si="23"/>
        <v/>
      </c>
    </row>
    <row r="479" spans="1:12" x14ac:dyDescent="0.25">
      <c r="A479" s="41"/>
      <c r="B479" s="41"/>
      <c r="C479" s="41"/>
      <c r="D479" s="41"/>
      <c r="E479" s="41"/>
      <c r="F479" s="83"/>
      <c r="G479" s="41"/>
      <c r="H479" s="48"/>
      <c r="I479" s="48"/>
      <c r="J479" s="41" t="str">
        <f t="shared" si="21"/>
        <v/>
      </c>
      <c r="K479" s="98" t="str">
        <f t="shared" si="22"/>
        <v/>
      </c>
      <c r="L479" s="40" t="str">
        <f t="shared" si="23"/>
        <v/>
      </c>
    </row>
    <row r="480" spans="1:12" x14ac:dyDescent="0.25">
      <c r="A480" s="41"/>
      <c r="B480" s="41"/>
      <c r="C480" s="41"/>
      <c r="D480" s="41"/>
      <c r="E480" s="41"/>
      <c r="F480" s="83"/>
      <c r="G480" s="41"/>
      <c r="H480" s="48"/>
      <c r="I480" s="48"/>
      <c r="J480" s="41" t="str">
        <f t="shared" si="21"/>
        <v/>
      </c>
      <c r="K480" s="98" t="str">
        <f t="shared" si="22"/>
        <v/>
      </c>
      <c r="L480" s="40" t="str">
        <f t="shared" si="23"/>
        <v/>
      </c>
    </row>
    <row r="481" spans="1:12" x14ac:dyDescent="0.25">
      <c r="A481" s="41"/>
      <c r="B481" s="41"/>
      <c r="C481" s="41"/>
      <c r="D481" s="41"/>
      <c r="E481" s="41"/>
      <c r="F481" s="83"/>
      <c r="G481" s="41"/>
      <c r="H481" s="48"/>
      <c r="I481" s="48"/>
      <c r="J481" s="41" t="str">
        <f t="shared" si="21"/>
        <v/>
      </c>
      <c r="K481" s="98" t="str">
        <f t="shared" si="22"/>
        <v/>
      </c>
      <c r="L481" s="40" t="str">
        <f t="shared" si="23"/>
        <v/>
      </c>
    </row>
    <row r="482" spans="1:12" x14ac:dyDescent="0.25">
      <c r="A482" s="41"/>
      <c r="B482" s="41"/>
      <c r="C482" s="41"/>
      <c r="D482" s="41"/>
      <c r="E482" s="41"/>
      <c r="F482" s="83"/>
      <c r="G482" s="41"/>
      <c r="H482" s="48"/>
      <c r="I482" s="48"/>
      <c r="J482" s="41" t="str">
        <f t="shared" si="21"/>
        <v/>
      </c>
      <c r="K482" s="98" t="str">
        <f t="shared" si="22"/>
        <v/>
      </c>
      <c r="L482" s="40" t="str">
        <f t="shared" si="23"/>
        <v/>
      </c>
    </row>
    <row r="483" spans="1:12" x14ac:dyDescent="0.25">
      <c r="A483" s="41"/>
      <c r="B483" s="41"/>
      <c r="C483" s="41"/>
      <c r="D483" s="41"/>
      <c r="E483" s="41"/>
      <c r="F483" s="83"/>
      <c r="G483" s="41"/>
      <c r="H483" s="48"/>
      <c r="I483" s="48"/>
      <c r="J483" s="41" t="str">
        <f t="shared" si="21"/>
        <v/>
      </c>
      <c r="K483" s="98" t="str">
        <f t="shared" si="22"/>
        <v/>
      </c>
      <c r="L483" s="40" t="str">
        <f t="shared" si="23"/>
        <v/>
      </c>
    </row>
    <row r="484" spans="1:12" x14ac:dyDescent="0.25">
      <c r="A484" s="41"/>
      <c r="B484" s="41"/>
      <c r="C484" s="41"/>
      <c r="D484" s="41"/>
      <c r="E484" s="41"/>
      <c r="F484" s="83"/>
      <c r="G484" s="41"/>
      <c r="H484" s="48"/>
      <c r="I484" s="48"/>
      <c r="J484" s="41" t="str">
        <f t="shared" si="21"/>
        <v/>
      </c>
      <c r="K484" s="98" t="str">
        <f t="shared" si="22"/>
        <v/>
      </c>
      <c r="L484" s="40" t="str">
        <f t="shared" si="23"/>
        <v/>
      </c>
    </row>
    <row r="485" spans="1:12" x14ac:dyDescent="0.25">
      <c r="A485" s="41"/>
      <c r="B485" s="41"/>
      <c r="C485" s="41"/>
      <c r="D485" s="41"/>
      <c r="E485" s="41"/>
      <c r="F485" s="83"/>
      <c r="G485" s="41"/>
      <c r="H485" s="48"/>
      <c r="I485" s="48"/>
      <c r="J485" s="41" t="str">
        <f t="shared" si="21"/>
        <v/>
      </c>
      <c r="K485" s="98" t="str">
        <f t="shared" si="22"/>
        <v/>
      </c>
      <c r="L485" s="40" t="str">
        <f t="shared" si="23"/>
        <v/>
      </c>
    </row>
    <row r="486" spans="1:12" x14ac:dyDescent="0.25">
      <c r="A486" s="41"/>
      <c r="B486" s="41"/>
      <c r="C486" s="41"/>
      <c r="D486" s="41"/>
      <c r="E486" s="41"/>
      <c r="F486" s="83"/>
      <c r="G486" s="41"/>
      <c r="H486" s="48"/>
      <c r="I486" s="48"/>
      <c r="J486" s="41" t="str">
        <f t="shared" si="21"/>
        <v/>
      </c>
      <c r="K486" s="98" t="str">
        <f t="shared" si="22"/>
        <v/>
      </c>
      <c r="L486" s="40" t="str">
        <f t="shared" si="23"/>
        <v/>
      </c>
    </row>
    <row r="487" spans="1:12" x14ac:dyDescent="0.25">
      <c r="A487" s="41"/>
      <c r="B487" s="41"/>
      <c r="C487" s="41"/>
      <c r="D487" s="41"/>
      <c r="E487" s="41"/>
      <c r="F487" s="83"/>
      <c r="G487" s="41"/>
      <c r="H487" s="48"/>
      <c r="I487" s="48"/>
      <c r="J487" s="41" t="str">
        <f t="shared" si="21"/>
        <v/>
      </c>
      <c r="K487" s="98" t="str">
        <f t="shared" si="22"/>
        <v/>
      </c>
      <c r="L487" s="40" t="str">
        <f t="shared" si="23"/>
        <v/>
      </c>
    </row>
    <row r="488" spans="1:12" x14ac:dyDescent="0.25">
      <c r="A488" s="41"/>
      <c r="B488" s="41"/>
      <c r="C488" s="41"/>
      <c r="D488" s="41"/>
      <c r="E488" s="41"/>
      <c r="F488" s="83"/>
      <c r="G488" s="41"/>
      <c r="H488" s="48"/>
      <c r="I488" s="48"/>
      <c r="J488" s="41" t="str">
        <f t="shared" si="21"/>
        <v/>
      </c>
      <c r="K488" s="98" t="str">
        <f t="shared" si="22"/>
        <v/>
      </c>
      <c r="L488" s="40" t="str">
        <f t="shared" si="23"/>
        <v/>
      </c>
    </row>
    <row r="489" spans="1:12" x14ac:dyDescent="0.25">
      <c r="A489" s="41"/>
      <c r="B489" s="41"/>
      <c r="C489" s="41"/>
      <c r="D489" s="41"/>
      <c r="E489" s="41"/>
      <c r="F489" s="83"/>
      <c r="G489" s="41"/>
      <c r="H489" s="48"/>
      <c r="I489" s="48"/>
      <c r="J489" s="41" t="str">
        <f t="shared" si="21"/>
        <v/>
      </c>
      <c r="K489" s="98" t="str">
        <f t="shared" si="22"/>
        <v/>
      </c>
      <c r="L489" s="40" t="str">
        <f t="shared" si="23"/>
        <v/>
      </c>
    </row>
    <row r="490" spans="1:12" x14ac:dyDescent="0.25">
      <c r="A490" s="41"/>
      <c r="B490" s="41"/>
      <c r="C490" s="41"/>
      <c r="D490" s="41"/>
      <c r="E490" s="41"/>
      <c r="F490" s="83"/>
      <c r="G490" s="41"/>
      <c r="H490" s="48"/>
      <c r="I490" s="48"/>
      <c r="J490" s="41" t="str">
        <f t="shared" si="21"/>
        <v/>
      </c>
      <c r="K490" s="98" t="str">
        <f t="shared" si="22"/>
        <v/>
      </c>
      <c r="L490" s="40" t="str">
        <f t="shared" si="23"/>
        <v/>
      </c>
    </row>
    <row r="491" spans="1:12" x14ac:dyDescent="0.25">
      <c r="A491" s="41"/>
      <c r="B491" s="41"/>
      <c r="C491" s="41"/>
      <c r="D491" s="41"/>
      <c r="E491" s="41"/>
      <c r="F491" s="83"/>
      <c r="G491" s="41"/>
      <c r="H491" s="48"/>
      <c r="I491" s="48"/>
      <c r="J491" s="41" t="str">
        <f t="shared" si="21"/>
        <v/>
      </c>
      <c r="K491" s="98" t="str">
        <f t="shared" si="22"/>
        <v/>
      </c>
      <c r="L491" s="40" t="str">
        <f t="shared" si="23"/>
        <v/>
      </c>
    </row>
    <row r="492" spans="1:12" x14ac:dyDescent="0.25">
      <c r="A492" s="41"/>
      <c r="B492" s="41"/>
      <c r="C492" s="41"/>
      <c r="D492" s="41"/>
      <c r="E492" s="41"/>
      <c r="F492" s="83"/>
      <c r="G492" s="41"/>
      <c r="H492" s="48"/>
      <c r="I492" s="48"/>
      <c r="J492" s="41" t="str">
        <f t="shared" si="21"/>
        <v/>
      </c>
      <c r="K492" s="98" t="str">
        <f t="shared" si="22"/>
        <v/>
      </c>
      <c r="L492" s="40" t="str">
        <f t="shared" si="23"/>
        <v/>
      </c>
    </row>
    <row r="493" spans="1:12" x14ac:dyDescent="0.25">
      <c r="A493" s="41"/>
      <c r="B493" s="41"/>
      <c r="C493" s="41"/>
      <c r="D493" s="41"/>
      <c r="E493" s="41"/>
      <c r="F493" s="83"/>
      <c r="G493" s="41"/>
      <c r="H493" s="48"/>
      <c r="I493" s="48"/>
      <c r="J493" s="41" t="str">
        <f t="shared" si="21"/>
        <v/>
      </c>
      <c r="K493" s="98" t="str">
        <f t="shared" si="22"/>
        <v/>
      </c>
      <c r="L493" s="40" t="str">
        <f t="shared" si="23"/>
        <v/>
      </c>
    </row>
    <row r="494" spans="1:12" x14ac:dyDescent="0.25">
      <c r="A494" s="41"/>
      <c r="B494" s="41"/>
      <c r="C494" s="41"/>
      <c r="D494" s="41"/>
      <c r="E494" s="41"/>
      <c r="F494" s="83"/>
      <c r="G494" s="41"/>
      <c r="H494" s="48"/>
      <c r="I494" s="48"/>
      <c r="J494" s="41" t="str">
        <f t="shared" si="21"/>
        <v/>
      </c>
      <c r="K494" s="98" t="str">
        <f t="shared" si="22"/>
        <v/>
      </c>
      <c r="L494" s="40" t="str">
        <f t="shared" si="23"/>
        <v/>
      </c>
    </row>
    <row r="495" spans="1:12" x14ac:dyDescent="0.25">
      <c r="A495" s="41"/>
      <c r="B495" s="41"/>
      <c r="C495" s="41"/>
      <c r="D495" s="41"/>
      <c r="E495" s="41"/>
      <c r="F495" s="83"/>
      <c r="G495" s="41"/>
      <c r="H495" s="48"/>
      <c r="I495" s="48"/>
      <c r="J495" s="41" t="str">
        <f t="shared" si="21"/>
        <v/>
      </c>
      <c r="K495" s="98" t="str">
        <f t="shared" si="22"/>
        <v/>
      </c>
      <c r="L495" s="40" t="str">
        <f t="shared" si="23"/>
        <v/>
      </c>
    </row>
    <row r="496" spans="1:12" x14ac:dyDescent="0.25">
      <c r="A496" s="41"/>
      <c r="B496" s="41"/>
      <c r="C496" s="41"/>
      <c r="D496" s="41"/>
      <c r="E496" s="41"/>
      <c r="F496" s="83"/>
      <c r="G496" s="41"/>
      <c r="H496" s="48"/>
      <c r="I496" s="48"/>
      <c r="J496" s="41" t="str">
        <f t="shared" si="21"/>
        <v/>
      </c>
      <c r="K496" s="98" t="str">
        <f t="shared" si="22"/>
        <v/>
      </c>
      <c r="L496" s="40" t="str">
        <f t="shared" si="23"/>
        <v/>
      </c>
    </row>
    <row r="497" spans="1:12" x14ac:dyDescent="0.25">
      <c r="A497" s="41"/>
      <c r="B497" s="41"/>
      <c r="C497" s="41"/>
      <c r="D497" s="41"/>
      <c r="E497" s="41"/>
      <c r="F497" s="83"/>
      <c r="G497" s="41"/>
      <c r="H497" s="48"/>
      <c r="I497" s="48"/>
      <c r="J497" s="41" t="str">
        <f t="shared" si="21"/>
        <v/>
      </c>
      <c r="K497" s="98" t="str">
        <f t="shared" si="22"/>
        <v/>
      </c>
      <c r="L497" s="40" t="str">
        <f t="shared" si="23"/>
        <v/>
      </c>
    </row>
    <row r="498" spans="1:12" x14ac:dyDescent="0.25">
      <c r="A498" s="41"/>
      <c r="B498" s="41"/>
      <c r="C498" s="41"/>
      <c r="D498" s="41"/>
      <c r="E498" s="41"/>
      <c r="F498" s="83"/>
      <c r="G498" s="41"/>
      <c r="H498" s="48"/>
      <c r="I498" s="48"/>
      <c r="J498" s="41" t="str">
        <f t="shared" si="21"/>
        <v/>
      </c>
      <c r="K498" s="98" t="str">
        <f t="shared" si="22"/>
        <v/>
      </c>
      <c r="L498" s="40" t="str">
        <f t="shared" si="23"/>
        <v/>
      </c>
    </row>
    <row r="499" spans="1:12" x14ac:dyDescent="0.25">
      <c r="A499" s="41"/>
      <c r="B499" s="41"/>
      <c r="C499" s="41"/>
      <c r="D499" s="41"/>
      <c r="E499" s="41"/>
      <c r="F499" s="83"/>
      <c r="G499" s="41"/>
      <c r="H499" s="48"/>
      <c r="I499" s="48"/>
      <c r="J499" s="41" t="str">
        <f t="shared" si="21"/>
        <v/>
      </c>
      <c r="K499" s="98" t="str">
        <f t="shared" si="22"/>
        <v/>
      </c>
      <c r="L499" s="40" t="str">
        <f t="shared" si="23"/>
        <v/>
      </c>
    </row>
    <row r="500" spans="1:12" x14ac:dyDescent="0.25">
      <c r="A500" s="41"/>
      <c r="B500" s="41"/>
      <c r="C500" s="41"/>
      <c r="D500" s="41"/>
      <c r="E500" s="41"/>
      <c r="F500" s="83"/>
      <c r="G500" s="41"/>
      <c r="H500" s="48"/>
      <c r="I500" s="48"/>
      <c r="J500" s="41" t="str">
        <f t="shared" si="21"/>
        <v/>
      </c>
      <c r="K500" s="98" t="str">
        <f t="shared" si="22"/>
        <v/>
      </c>
      <c r="L500" s="40" t="str">
        <f t="shared" si="23"/>
        <v/>
      </c>
    </row>
    <row r="501" spans="1:12" x14ac:dyDescent="0.25">
      <c r="A501" s="41"/>
      <c r="B501" s="41"/>
      <c r="C501" s="41"/>
      <c r="D501" s="41"/>
      <c r="E501" s="41"/>
      <c r="F501" s="83"/>
      <c r="G501" s="41"/>
      <c r="H501" s="48"/>
      <c r="I501" s="48"/>
      <c r="J501" s="41" t="str">
        <f t="shared" si="21"/>
        <v/>
      </c>
      <c r="K501" s="98" t="str">
        <f t="shared" si="22"/>
        <v/>
      </c>
      <c r="L501" s="40" t="str">
        <f t="shared" si="23"/>
        <v/>
      </c>
    </row>
    <row r="502" spans="1:12" x14ac:dyDescent="0.25">
      <c r="A502" s="41"/>
      <c r="B502" s="41"/>
      <c r="C502" s="41"/>
      <c r="D502" s="41"/>
      <c r="E502" s="41"/>
      <c r="F502" s="83"/>
      <c r="G502" s="41"/>
      <c r="H502" s="48"/>
      <c r="I502" s="48"/>
      <c r="J502" s="41" t="str">
        <f t="shared" si="21"/>
        <v/>
      </c>
      <c r="K502" s="98" t="str">
        <f t="shared" si="22"/>
        <v/>
      </c>
      <c r="L502" s="40" t="str">
        <f t="shared" si="23"/>
        <v/>
      </c>
    </row>
    <row r="503" spans="1:12" x14ac:dyDescent="0.25">
      <c r="A503" s="41"/>
      <c r="B503" s="41"/>
      <c r="C503" s="41"/>
      <c r="D503" s="41"/>
      <c r="E503" s="41"/>
      <c r="F503" s="83"/>
      <c r="G503" s="41"/>
      <c r="H503" s="48"/>
      <c r="I503" s="48"/>
      <c r="J503" s="41" t="str">
        <f t="shared" si="21"/>
        <v/>
      </c>
      <c r="K503" s="98" t="str">
        <f t="shared" si="22"/>
        <v/>
      </c>
      <c r="L503" s="40" t="str">
        <f t="shared" si="23"/>
        <v/>
      </c>
    </row>
    <row r="504" spans="1:12" x14ac:dyDescent="0.25">
      <c r="A504" s="41"/>
      <c r="B504" s="41"/>
      <c r="C504" s="41"/>
      <c r="D504" s="41"/>
      <c r="E504" s="41"/>
      <c r="F504" s="83"/>
      <c r="G504" s="41"/>
      <c r="H504" s="48"/>
      <c r="I504" s="48"/>
      <c r="J504" s="41" t="str">
        <f t="shared" si="21"/>
        <v/>
      </c>
      <c r="K504" s="98" t="str">
        <f t="shared" si="22"/>
        <v/>
      </c>
      <c r="L504" s="40" t="str">
        <f t="shared" si="23"/>
        <v/>
      </c>
    </row>
    <row r="505" spans="1:12" x14ac:dyDescent="0.25">
      <c r="A505" s="41"/>
      <c r="B505" s="41"/>
      <c r="C505" s="41"/>
      <c r="D505" s="41"/>
      <c r="E505" s="41"/>
      <c r="F505" s="83"/>
      <c r="G505" s="41"/>
      <c r="H505" s="48"/>
      <c r="I505" s="48"/>
      <c r="J505" s="41" t="str">
        <f t="shared" si="21"/>
        <v/>
      </c>
      <c r="K505" s="98" t="str">
        <f t="shared" si="22"/>
        <v/>
      </c>
      <c r="L505" s="40" t="str">
        <f t="shared" si="23"/>
        <v/>
      </c>
    </row>
    <row r="506" spans="1:12" x14ac:dyDescent="0.25">
      <c r="A506" s="41"/>
      <c r="B506" s="41"/>
      <c r="C506" s="41"/>
      <c r="D506" s="41"/>
      <c r="E506" s="41"/>
      <c r="F506" s="83"/>
      <c r="G506" s="41"/>
      <c r="H506" s="48"/>
      <c r="I506" s="48"/>
      <c r="J506" s="41" t="str">
        <f t="shared" si="21"/>
        <v/>
      </c>
      <c r="K506" s="98" t="str">
        <f t="shared" si="22"/>
        <v/>
      </c>
      <c r="L506" s="40" t="str">
        <f t="shared" si="23"/>
        <v/>
      </c>
    </row>
    <row r="507" spans="1:12" x14ac:dyDescent="0.25">
      <c r="A507" s="41"/>
      <c r="B507" s="41"/>
      <c r="C507" s="41"/>
      <c r="D507" s="41"/>
      <c r="E507" s="41"/>
      <c r="F507" s="83"/>
      <c r="G507" s="41"/>
      <c r="H507" s="48"/>
      <c r="I507" s="48"/>
      <c r="J507" s="41" t="str">
        <f t="shared" si="21"/>
        <v/>
      </c>
      <c r="K507" s="98" t="str">
        <f t="shared" si="22"/>
        <v/>
      </c>
      <c r="L507" s="40" t="str">
        <f t="shared" si="23"/>
        <v/>
      </c>
    </row>
    <row r="508" spans="1:12" x14ac:dyDescent="0.25">
      <c r="A508" s="41"/>
      <c r="B508" s="41"/>
      <c r="C508" s="41"/>
      <c r="D508" s="41"/>
      <c r="E508" s="41"/>
      <c r="F508" s="83"/>
      <c r="G508" s="41"/>
      <c r="H508" s="48"/>
      <c r="I508" s="48"/>
      <c r="J508" s="41" t="str">
        <f t="shared" si="21"/>
        <v/>
      </c>
      <c r="K508" s="98" t="str">
        <f t="shared" si="22"/>
        <v/>
      </c>
      <c r="L508" s="40" t="str">
        <f t="shared" si="23"/>
        <v/>
      </c>
    </row>
    <row r="509" spans="1:12" x14ac:dyDescent="0.25">
      <c r="A509" s="41"/>
      <c r="B509" s="41"/>
      <c r="C509" s="41"/>
      <c r="D509" s="41"/>
      <c r="E509" s="41"/>
      <c r="F509" s="83"/>
      <c r="G509" s="41"/>
      <c r="H509" s="48"/>
      <c r="I509" s="48"/>
      <c r="J509" s="41" t="str">
        <f t="shared" si="21"/>
        <v/>
      </c>
      <c r="K509" s="98" t="str">
        <f t="shared" si="22"/>
        <v/>
      </c>
      <c r="L509" s="40" t="str">
        <f t="shared" si="23"/>
        <v/>
      </c>
    </row>
    <row r="510" spans="1:12" x14ac:dyDescent="0.25">
      <c r="A510" s="41"/>
      <c r="B510" s="41"/>
      <c r="C510" s="41"/>
      <c r="D510" s="41"/>
      <c r="E510" s="41"/>
      <c r="F510" s="83"/>
      <c r="G510" s="41"/>
      <c r="H510" s="48"/>
      <c r="I510" s="48"/>
      <c r="J510" s="41" t="str">
        <f t="shared" si="21"/>
        <v/>
      </c>
      <c r="K510" s="98" t="str">
        <f t="shared" si="22"/>
        <v/>
      </c>
      <c r="L510" s="40" t="str">
        <f t="shared" si="23"/>
        <v/>
      </c>
    </row>
    <row r="511" spans="1:12" x14ac:dyDescent="0.25">
      <c r="A511" s="41"/>
      <c r="B511" s="41"/>
      <c r="C511" s="41"/>
      <c r="D511" s="41"/>
      <c r="E511" s="41"/>
      <c r="F511" s="83"/>
      <c r="G511" s="41"/>
      <c r="H511" s="48"/>
      <c r="I511" s="48"/>
      <c r="J511" s="41" t="str">
        <f t="shared" si="21"/>
        <v/>
      </c>
      <c r="K511" s="98" t="str">
        <f t="shared" si="22"/>
        <v/>
      </c>
      <c r="L511" s="40" t="str">
        <f t="shared" si="23"/>
        <v/>
      </c>
    </row>
    <row r="512" spans="1:12" x14ac:dyDescent="0.25">
      <c r="A512" s="41"/>
      <c r="B512" s="41"/>
      <c r="C512" s="41"/>
      <c r="D512" s="41"/>
      <c r="E512" s="41"/>
      <c r="F512" s="83"/>
      <c r="G512" s="41"/>
      <c r="H512" s="48"/>
      <c r="I512" s="48"/>
      <c r="J512" s="41" t="str">
        <f t="shared" si="21"/>
        <v/>
      </c>
      <c r="K512" s="98" t="str">
        <f t="shared" si="22"/>
        <v/>
      </c>
      <c r="L512" s="40" t="str">
        <f t="shared" si="23"/>
        <v/>
      </c>
    </row>
    <row r="513" spans="1:12" x14ac:dyDescent="0.25">
      <c r="A513" s="41"/>
      <c r="B513" s="41"/>
      <c r="C513" s="41"/>
      <c r="D513" s="41"/>
      <c r="E513" s="41"/>
      <c r="F513" s="83"/>
      <c r="G513" s="41"/>
      <c r="H513" s="48"/>
      <c r="I513" s="48"/>
      <c r="J513" s="41" t="str">
        <f t="shared" si="21"/>
        <v/>
      </c>
      <c r="K513" s="98" t="str">
        <f t="shared" si="22"/>
        <v/>
      </c>
      <c r="L513" s="40" t="str">
        <f t="shared" si="23"/>
        <v/>
      </c>
    </row>
    <row r="514" spans="1:12" x14ac:dyDescent="0.25">
      <c r="A514" s="41"/>
      <c r="B514" s="41"/>
      <c r="C514" s="41"/>
      <c r="D514" s="41"/>
      <c r="E514" s="41"/>
      <c r="F514" s="83"/>
      <c r="G514" s="41"/>
      <c r="H514" s="48"/>
      <c r="I514" s="48"/>
      <c r="J514" s="41" t="str">
        <f t="shared" si="21"/>
        <v/>
      </c>
      <c r="K514" s="98" t="str">
        <f t="shared" si="22"/>
        <v/>
      </c>
      <c r="L514" s="40" t="str">
        <f t="shared" si="23"/>
        <v/>
      </c>
    </row>
    <row r="515" spans="1:12" x14ac:dyDescent="0.25">
      <c r="A515" s="41"/>
      <c r="B515" s="41"/>
      <c r="C515" s="41"/>
      <c r="D515" s="41"/>
      <c r="E515" s="41"/>
      <c r="F515" s="83"/>
      <c r="G515" s="41"/>
      <c r="H515" s="48"/>
      <c r="I515" s="48"/>
      <c r="J515" s="41" t="str">
        <f t="shared" si="21"/>
        <v/>
      </c>
      <c r="K515" s="98" t="str">
        <f t="shared" si="22"/>
        <v/>
      </c>
      <c r="L515" s="40" t="str">
        <f t="shared" si="23"/>
        <v/>
      </c>
    </row>
    <row r="516" spans="1:12" x14ac:dyDescent="0.25">
      <c r="A516" s="41"/>
      <c r="B516" s="41"/>
      <c r="C516" s="41"/>
      <c r="D516" s="41"/>
      <c r="E516" s="41"/>
      <c r="F516" s="83"/>
      <c r="G516" s="41"/>
      <c r="H516" s="48"/>
      <c r="I516" s="48"/>
      <c r="J516" s="41" t="str">
        <f t="shared" si="21"/>
        <v/>
      </c>
      <c r="K516" s="98" t="str">
        <f t="shared" si="22"/>
        <v/>
      </c>
      <c r="L516" s="40" t="str">
        <f t="shared" si="23"/>
        <v/>
      </c>
    </row>
    <row r="517" spans="1:12" x14ac:dyDescent="0.25">
      <c r="A517" s="41"/>
      <c r="B517" s="41"/>
      <c r="C517" s="41"/>
      <c r="D517" s="41"/>
      <c r="E517" s="41"/>
      <c r="F517" s="83"/>
      <c r="G517" s="41"/>
      <c r="H517" s="48"/>
      <c r="I517" s="48"/>
      <c r="J517" s="41" t="str">
        <f t="shared" si="21"/>
        <v/>
      </c>
      <c r="K517" s="98" t="str">
        <f t="shared" si="22"/>
        <v/>
      </c>
      <c r="L517" s="40" t="str">
        <f t="shared" si="23"/>
        <v/>
      </c>
    </row>
    <row r="518" spans="1:12" x14ac:dyDescent="0.25">
      <c r="A518" s="41"/>
      <c r="B518" s="41"/>
      <c r="C518" s="41"/>
      <c r="D518" s="41"/>
      <c r="E518" s="41"/>
      <c r="F518" s="83"/>
      <c r="G518" s="41"/>
      <c r="H518" s="48"/>
      <c r="I518" s="48"/>
      <c r="J518" s="41" t="str">
        <f t="shared" si="21"/>
        <v/>
      </c>
      <c r="K518" s="98" t="str">
        <f t="shared" si="22"/>
        <v/>
      </c>
      <c r="L518" s="40" t="str">
        <f t="shared" si="23"/>
        <v/>
      </c>
    </row>
    <row r="519" spans="1:12" x14ac:dyDescent="0.25">
      <c r="A519" s="41"/>
      <c r="B519" s="41"/>
      <c r="C519" s="41"/>
      <c r="D519" s="41"/>
      <c r="E519" s="41"/>
      <c r="F519" s="83"/>
      <c r="G519" s="41"/>
      <c r="H519" s="48"/>
      <c r="I519" s="48"/>
      <c r="J519" s="41" t="str">
        <f t="shared" si="21"/>
        <v/>
      </c>
      <c r="K519" s="98" t="str">
        <f t="shared" si="22"/>
        <v/>
      </c>
      <c r="L519" s="40" t="str">
        <f t="shared" si="23"/>
        <v/>
      </c>
    </row>
    <row r="520" spans="1:12" x14ac:dyDescent="0.25">
      <c r="A520" s="41"/>
      <c r="B520" s="41"/>
      <c r="C520" s="41"/>
      <c r="D520" s="41"/>
      <c r="E520" s="41"/>
      <c r="F520" s="83"/>
      <c r="G520" s="41"/>
      <c r="H520" s="48"/>
      <c r="I520" s="48"/>
      <c r="J520" s="41" t="str">
        <f t="shared" si="21"/>
        <v/>
      </c>
      <c r="K520" s="98" t="str">
        <f t="shared" si="22"/>
        <v/>
      </c>
      <c r="L520" s="40" t="str">
        <f t="shared" si="23"/>
        <v/>
      </c>
    </row>
    <row r="521" spans="1:12" x14ac:dyDescent="0.25">
      <c r="A521" s="41"/>
      <c r="B521" s="41"/>
      <c r="C521" s="41"/>
      <c r="D521" s="41"/>
      <c r="E521" s="41"/>
      <c r="F521" s="83"/>
      <c r="G521" s="41"/>
      <c r="H521" s="48"/>
      <c r="I521" s="48"/>
      <c r="J521" s="41" t="str">
        <f t="shared" si="21"/>
        <v/>
      </c>
      <c r="K521" s="98" t="str">
        <f t="shared" si="22"/>
        <v/>
      </c>
      <c r="L521" s="40" t="str">
        <f t="shared" si="23"/>
        <v/>
      </c>
    </row>
    <row r="522" spans="1:12" x14ac:dyDescent="0.25">
      <c r="A522" s="41"/>
      <c r="B522" s="41"/>
      <c r="C522" s="41"/>
      <c r="D522" s="41"/>
      <c r="E522" s="41"/>
      <c r="F522" s="83"/>
      <c r="G522" s="41"/>
      <c r="H522" s="48"/>
      <c r="I522" s="48"/>
      <c r="J522" s="41" t="str">
        <f t="shared" ref="J522:J585" si="24">IFERROR(IF(NOT(ISNUMBER(H522)),"",IF(I522="","ABSENT/NO-SUBMISSION",IF(I522&lt;K522,"No Improvement, Previous marks be assigned.", "Marks Improved"))),"")</f>
        <v/>
      </c>
      <c r="K522" s="98" t="str">
        <f t="shared" ref="K522:K585" si="25">IFERROR(VALUE(MID(F522,6,FIND("%",F522)-6))*H522/100,"")</f>
        <v/>
      </c>
      <c r="L522" s="40" t="str">
        <f t="shared" ref="L522:L585" si="26">IF(AND(G522&lt;&gt;"REPEAT COARSE",A522&lt;&gt;""),"CASE#"&amp; A522&amp;": "&amp;"It is to Inform that you have failed "&amp;E522&amp;" due to "&amp;F522&amp;" percentages. You are required to "&amp;VLOOKUP(G522,$AA$1:$AD$30,2,FALSE) &amp;" " &amp;G522&amp;VLOOKUP(G522,$AA$1:$AD$30,3,FALSE),IF(A522&lt;&gt;"","CASE#"&amp; A522&amp;": "&amp;"It is to Inform that you have failed "&amp;E522&amp;" due to "&amp;F522&amp;" percentages. You are required to  "&amp;G522&amp;" next time if you are interested to imporve this CLO.",""))</f>
        <v/>
      </c>
    </row>
    <row r="523" spans="1:12" x14ac:dyDescent="0.25">
      <c r="A523" s="41"/>
      <c r="B523" s="41"/>
      <c r="C523" s="41"/>
      <c r="D523" s="41"/>
      <c r="E523" s="41"/>
      <c r="F523" s="83"/>
      <c r="G523" s="41"/>
      <c r="H523" s="48"/>
      <c r="I523" s="48"/>
      <c r="J523" s="41" t="str">
        <f t="shared" si="24"/>
        <v/>
      </c>
      <c r="K523" s="98" t="str">
        <f t="shared" si="25"/>
        <v/>
      </c>
      <c r="L523" s="40" t="str">
        <f t="shared" si="26"/>
        <v/>
      </c>
    </row>
    <row r="524" spans="1:12" x14ac:dyDescent="0.25">
      <c r="A524" s="41"/>
      <c r="B524" s="41"/>
      <c r="C524" s="41"/>
      <c r="D524" s="41"/>
      <c r="E524" s="41"/>
      <c r="F524" s="83"/>
      <c r="G524" s="41"/>
      <c r="H524" s="48"/>
      <c r="I524" s="48"/>
      <c r="J524" s="41" t="str">
        <f t="shared" si="24"/>
        <v/>
      </c>
      <c r="K524" s="98" t="str">
        <f t="shared" si="25"/>
        <v/>
      </c>
      <c r="L524" s="40" t="str">
        <f t="shared" si="26"/>
        <v/>
      </c>
    </row>
    <row r="525" spans="1:12" x14ac:dyDescent="0.25">
      <c r="A525" s="41"/>
      <c r="B525" s="41"/>
      <c r="C525" s="41"/>
      <c r="D525" s="41"/>
      <c r="E525" s="41"/>
      <c r="F525" s="83"/>
      <c r="G525" s="41"/>
      <c r="H525" s="48"/>
      <c r="I525" s="48"/>
      <c r="J525" s="41" t="str">
        <f t="shared" si="24"/>
        <v/>
      </c>
      <c r="K525" s="98" t="str">
        <f t="shared" si="25"/>
        <v/>
      </c>
      <c r="L525" s="40" t="str">
        <f t="shared" si="26"/>
        <v/>
      </c>
    </row>
    <row r="526" spans="1:12" x14ac:dyDescent="0.25">
      <c r="A526" s="41"/>
      <c r="B526" s="41"/>
      <c r="C526" s="41"/>
      <c r="D526" s="41"/>
      <c r="E526" s="41"/>
      <c r="F526" s="83"/>
      <c r="G526" s="41"/>
      <c r="H526" s="48"/>
      <c r="I526" s="48"/>
      <c r="J526" s="41" t="str">
        <f t="shared" si="24"/>
        <v/>
      </c>
      <c r="K526" s="98" t="str">
        <f t="shared" si="25"/>
        <v/>
      </c>
      <c r="L526" s="40" t="str">
        <f t="shared" si="26"/>
        <v/>
      </c>
    </row>
    <row r="527" spans="1:12" x14ac:dyDescent="0.25">
      <c r="A527" s="41"/>
      <c r="B527" s="41"/>
      <c r="C527" s="41"/>
      <c r="D527" s="41"/>
      <c r="E527" s="41"/>
      <c r="F527" s="83"/>
      <c r="G527" s="41"/>
      <c r="H527" s="48"/>
      <c r="I527" s="48"/>
      <c r="J527" s="41" t="str">
        <f t="shared" si="24"/>
        <v/>
      </c>
      <c r="K527" s="98" t="str">
        <f t="shared" si="25"/>
        <v/>
      </c>
      <c r="L527" s="40" t="str">
        <f t="shared" si="26"/>
        <v/>
      </c>
    </row>
    <row r="528" spans="1:12" x14ac:dyDescent="0.25">
      <c r="A528" s="41"/>
      <c r="B528" s="41"/>
      <c r="C528" s="41"/>
      <c r="D528" s="41"/>
      <c r="E528" s="41"/>
      <c r="F528" s="83"/>
      <c r="G528" s="41"/>
      <c r="H528" s="48"/>
      <c r="I528" s="48"/>
      <c r="J528" s="41" t="str">
        <f t="shared" si="24"/>
        <v/>
      </c>
      <c r="K528" s="98" t="str">
        <f t="shared" si="25"/>
        <v/>
      </c>
      <c r="L528" s="40" t="str">
        <f t="shared" si="26"/>
        <v/>
      </c>
    </row>
    <row r="529" spans="1:12" x14ac:dyDescent="0.25">
      <c r="A529" s="41"/>
      <c r="B529" s="41"/>
      <c r="C529" s="41"/>
      <c r="D529" s="41"/>
      <c r="E529" s="41"/>
      <c r="F529" s="83"/>
      <c r="G529" s="41"/>
      <c r="H529" s="48"/>
      <c r="I529" s="48"/>
      <c r="J529" s="41" t="str">
        <f t="shared" si="24"/>
        <v/>
      </c>
      <c r="K529" s="98" t="str">
        <f t="shared" si="25"/>
        <v/>
      </c>
      <c r="L529" s="40" t="str">
        <f t="shared" si="26"/>
        <v/>
      </c>
    </row>
    <row r="530" spans="1:12" x14ac:dyDescent="0.25">
      <c r="A530" s="41"/>
      <c r="B530" s="41"/>
      <c r="C530" s="41"/>
      <c r="D530" s="41"/>
      <c r="E530" s="41"/>
      <c r="F530" s="83"/>
      <c r="G530" s="41"/>
      <c r="H530" s="48"/>
      <c r="I530" s="48"/>
      <c r="J530" s="41" t="str">
        <f t="shared" si="24"/>
        <v/>
      </c>
      <c r="K530" s="98" t="str">
        <f t="shared" si="25"/>
        <v/>
      </c>
      <c r="L530" s="40" t="str">
        <f t="shared" si="26"/>
        <v/>
      </c>
    </row>
    <row r="531" spans="1:12" x14ac:dyDescent="0.25">
      <c r="A531" s="41"/>
      <c r="B531" s="41"/>
      <c r="C531" s="41"/>
      <c r="D531" s="41"/>
      <c r="E531" s="41"/>
      <c r="F531" s="83"/>
      <c r="G531" s="41"/>
      <c r="H531" s="48"/>
      <c r="I531" s="48"/>
      <c r="J531" s="41" t="str">
        <f t="shared" si="24"/>
        <v/>
      </c>
      <c r="K531" s="98" t="str">
        <f t="shared" si="25"/>
        <v/>
      </c>
      <c r="L531" s="40" t="str">
        <f t="shared" si="26"/>
        <v/>
      </c>
    </row>
    <row r="532" spans="1:12" x14ac:dyDescent="0.25">
      <c r="A532" s="41"/>
      <c r="B532" s="41"/>
      <c r="C532" s="41"/>
      <c r="D532" s="41"/>
      <c r="E532" s="41"/>
      <c r="F532" s="83"/>
      <c r="G532" s="41"/>
      <c r="H532" s="48"/>
      <c r="I532" s="48"/>
      <c r="J532" s="41" t="str">
        <f t="shared" si="24"/>
        <v/>
      </c>
      <c r="K532" s="98" t="str">
        <f t="shared" si="25"/>
        <v/>
      </c>
      <c r="L532" s="40" t="str">
        <f t="shared" si="26"/>
        <v/>
      </c>
    </row>
    <row r="533" spans="1:12" x14ac:dyDescent="0.25">
      <c r="A533" s="41"/>
      <c r="B533" s="41"/>
      <c r="C533" s="41"/>
      <c r="D533" s="41"/>
      <c r="E533" s="41"/>
      <c r="F533" s="83"/>
      <c r="G533" s="41"/>
      <c r="H533" s="48"/>
      <c r="I533" s="48"/>
      <c r="J533" s="41" t="str">
        <f t="shared" si="24"/>
        <v/>
      </c>
      <c r="K533" s="98" t="str">
        <f t="shared" si="25"/>
        <v/>
      </c>
      <c r="L533" s="40" t="str">
        <f t="shared" si="26"/>
        <v/>
      </c>
    </row>
    <row r="534" spans="1:12" x14ac:dyDescent="0.25">
      <c r="A534" s="41"/>
      <c r="B534" s="41"/>
      <c r="C534" s="41"/>
      <c r="D534" s="41"/>
      <c r="E534" s="41"/>
      <c r="F534" s="83"/>
      <c r="G534" s="41"/>
      <c r="H534" s="48"/>
      <c r="I534" s="48"/>
      <c r="J534" s="41" t="str">
        <f t="shared" si="24"/>
        <v/>
      </c>
      <c r="K534" s="98" t="str">
        <f t="shared" si="25"/>
        <v/>
      </c>
      <c r="L534" s="40" t="str">
        <f t="shared" si="26"/>
        <v/>
      </c>
    </row>
    <row r="535" spans="1:12" x14ac:dyDescent="0.25">
      <c r="A535" s="41"/>
      <c r="B535" s="41"/>
      <c r="C535" s="41"/>
      <c r="D535" s="41"/>
      <c r="E535" s="41"/>
      <c r="F535" s="83"/>
      <c r="G535" s="41"/>
      <c r="H535" s="48"/>
      <c r="I535" s="48"/>
      <c r="J535" s="41" t="str">
        <f t="shared" si="24"/>
        <v/>
      </c>
      <c r="K535" s="98" t="str">
        <f t="shared" si="25"/>
        <v/>
      </c>
      <c r="L535" s="40" t="str">
        <f t="shared" si="26"/>
        <v/>
      </c>
    </row>
    <row r="536" spans="1:12" x14ac:dyDescent="0.25">
      <c r="A536" s="41"/>
      <c r="B536" s="41"/>
      <c r="C536" s="41"/>
      <c r="D536" s="41"/>
      <c r="E536" s="41"/>
      <c r="F536" s="83"/>
      <c r="G536" s="41"/>
      <c r="H536" s="48"/>
      <c r="I536" s="48"/>
      <c r="J536" s="41" t="str">
        <f t="shared" si="24"/>
        <v/>
      </c>
      <c r="K536" s="98" t="str">
        <f t="shared" si="25"/>
        <v/>
      </c>
      <c r="L536" s="40" t="str">
        <f t="shared" si="26"/>
        <v/>
      </c>
    </row>
    <row r="537" spans="1:12" x14ac:dyDescent="0.25">
      <c r="A537" s="41"/>
      <c r="B537" s="41"/>
      <c r="C537" s="41"/>
      <c r="D537" s="41"/>
      <c r="E537" s="41"/>
      <c r="F537" s="83"/>
      <c r="G537" s="41"/>
      <c r="H537" s="48"/>
      <c r="I537" s="48"/>
      <c r="J537" s="41" t="str">
        <f t="shared" si="24"/>
        <v/>
      </c>
      <c r="K537" s="98" t="str">
        <f t="shared" si="25"/>
        <v/>
      </c>
      <c r="L537" s="40" t="str">
        <f t="shared" si="26"/>
        <v/>
      </c>
    </row>
    <row r="538" spans="1:12" x14ac:dyDescent="0.25">
      <c r="A538" s="41"/>
      <c r="B538" s="41"/>
      <c r="C538" s="41"/>
      <c r="D538" s="41"/>
      <c r="E538" s="41"/>
      <c r="F538" s="83"/>
      <c r="G538" s="41"/>
      <c r="H538" s="48"/>
      <c r="I538" s="48"/>
      <c r="J538" s="41" t="str">
        <f t="shared" si="24"/>
        <v/>
      </c>
      <c r="K538" s="98" t="str">
        <f t="shared" si="25"/>
        <v/>
      </c>
      <c r="L538" s="40" t="str">
        <f t="shared" si="26"/>
        <v/>
      </c>
    </row>
    <row r="539" spans="1:12" x14ac:dyDescent="0.25">
      <c r="A539" s="41"/>
      <c r="B539" s="41"/>
      <c r="C539" s="41"/>
      <c r="D539" s="41"/>
      <c r="E539" s="41"/>
      <c r="F539" s="83"/>
      <c r="G539" s="41"/>
      <c r="H539" s="48"/>
      <c r="I539" s="48"/>
      <c r="J539" s="41" t="str">
        <f t="shared" si="24"/>
        <v/>
      </c>
      <c r="K539" s="98" t="str">
        <f t="shared" si="25"/>
        <v/>
      </c>
      <c r="L539" s="40" t="str">
        <f t="shared" si="26"/>
        <v/>
      </c>
    </row>
    <row r="540" spans="1:12" x14ac:dyDescent="0.25">
      <c r="A540" s="41"/>
      <c r="B540" s="41"/>
      <c r="C540" s="41"/>
      <c r="D540" s="41"/>
      <c r="E540" s="41"/>
      <c r="F540" s="83"/>
      <c r="G540" s="41"/>
      <c r="H540" s="48"/>
      <c r="I540" s="48"/>
      <c r="J540" s="41" t="str">
        <f t="shared" si="24"/>
        <v/>
      </c>
      <c r="K540" s="98" t="str">
        <f t="shared" si="25"/>
        <v/>
      </c>
      <c r="L540" s="40" t="str">
        <f t="shared" si="26"/>
        <v/>
      </c>
    </row>
    <row r="541" spans="1:12" x14ac:dyDescent="0.25">
      <c r="A541" s="41"/>
      <c r="B541" s="41"/>
      <c r="C541" s="41"/>
      <c r="D541" s="41"/>
      <c r="E541" s="41"/>
      <c r="F541" s="83"/>
      <c r="G541" s="41"/>
      <c r="H541" s="48"/>
      <c r="I541" s="48"/>
      <c r="J541" s="41" t="str">
        <f t="shared" si="24"/>
        <v/>
      </c>
      <c r="K541" s="98" t="str">
        <f t="shared" si="25"/>
        <v/>
      </c>
      <c r="L541" s="40" t="str">
        <f t="shared" si="26"/>
        <v/>
      </c>
    </row>
    <row r="542" spans="1:12" x14ac:dyDescent="0.25">
      <c r="A542" s="41"/>
      <c r="B542" s="41"/>
      <c r="C542" s="41"/>
      <c r="D542" s="41"/>
      <c r="E542" s="41"/>
      <c r="F542" s="83"/>
      <c r="G542" s="41"/>
      <c r="H542" s="48"/>
      <c r="I542" s="48"/>
      <c r="J542" s="41" t="str">
        <f t="shared" si="24"/>
        <v/>
      </c>
      <c r="K542" s="98" t="str">
        <f t="shared" si="25"/>
        <v/>
      </c>
      <c r="L542" s="40" t="str">
        <f t="shared" si="26"/>
        <v/>
      </c>
    </row>
    <row r="543" spans="1:12" x14ac:dyDescent="0.25">
      <c r="A543" s="41"/>
      <c r="B543" s="41"/>
      <c r="C543" s="41"/>
      <c r="D543" s="41"/>
      <c r="E543" s="41"/>
      <c r="F543" s="83"/>
      <c r="G543" s="41"/>
      <c r="H543" s="48"/>
      <c r="I543" s="48"/>
      <c r="J543" s="41" t="str">
        <f t="shared" si="24"/>
        <v/>
      </c>
      <c r="K543" s="98" t="str">
        <f t="shared" si="25"/>
        <v/>
      </c>
      <c r="L543" s="40" t="str">
        <f t="shared" si="26"/>
        <v/>
      </c>
    </row>
    <row r="544" spans="1:12" x14ac:dyDescent="0.25">
      <c r="A544" s="41"/>
      <c r="B544" s="41"/>
      <c r="C544" s="41"/>
      <c r="D544" s="41"/>
      <c r="E544" s="41"/>
      <c r="F544" s="83"/>
      <c r="G544" s="41"/>
      <c r="H544" s="48"/>
      <c r="I544" s="48"/>
      <c r="J544" s="41" t="str">
        <f t="shared" si="24"/>
        <v/>
      </c>
      <c r="K544" s="98" t="str">
        <f t="shared" si="25"/>
        <v/>
      </c>
      <c r="L544" s="40" t="str">
        <f t="shared" si="26"/>
        <v/>
      </c>
    </row>
    <row r="545" spans="1:12" x14ac:dyDescent="0.25">
      <c r="A545" s="41"/>
      <c r="B545" s="41"/>
      <c r="C545" s="41"/>
      <c r="D545" s="41"/>
      <c r="E545" s="41"/>
      <c r="F545" s="83"/>
      <c r="G545" s="41"/>
      <c r="H545" s="48"/>
      <c r="I545" s="48"/>
      <c r="J545" s="41" t="str">
        <f t="shared" si="24"/>
        <v/>
      </c>
      <c r="K545" s="98" t="str">
        <f t="shared" si="25"/>
        <v/>
      </c>
      <c r="L545" s="40" t="str">
        <f t="shared" si="26"/>
        <v/>
      </c>
    </row>
    <row r="546" spans="1:12" x14ac:dyDescent="0.25">
      <c r="A546" s="41"/>
      <c r="B546" s="41"/>
      <c r="C546" s="41"/>
      <c r="D546" s="41"/>
      <c r="E546" s="41"/>
      <c r="F546" s="83"/>
      <c r="G546" s="41"/>
      <c r="H546" s="48"/>
      <c r="I546" s="48"/>
      <c r="J546" s="41" t="str">
        <f t="shared" si="24"/>
        <v/>
      </c>
      <c r="K546" s="98" t="str">
        <f t="shared" si="25"/>
        <v/>
      </c>
      <c r="L546" s="40" t="str">
        <f t="shared" si="26"/>
        <v/>
      </c>
    </row>
    <row r="547" spans="1:12" x14ac:dyDescent="0.25">
      <c r="A547" s="41"/>
      <c r="B547" s="41"/>
      <c r="C547" s="41"/>
      <c r="D547" s="41"/>
      <c r="E547" s="41"/>
      <c r="F547" s="83"/>
      <c r="G547" s="41"/>
      <c r="H547" s="48"/>
      <c r="I547" s="48"/>
      <c r="J547" s="41" t="str">
        <f t="shared" si="24"/>
        <v/>
      </c>
      <c r="K547" s="98" t="str">
        <f t="shared" si="25"/>
        <v/>
      </c>
      <c r="L547" s="40" t="str">
        <f t="shared" si="26"/>
        <v/>
      </c>
    </row>
    <row r="548" spans="1:12" x14ac:dyDescent="0.25">
      <c r="A548" s="41"/>
      <c r="B548" s="41"/>
      <c r="C548" s="41"/>
      <c r="D548" s="41"/>
      <c r="E548" s="41"/>
      <c r="F548" s="83"/>
      <c r="G548" s="41"/>
      <c r="H548" s="48"/>
      <c r="I548" s="48"/>
      <c r="J548" s="41" t="str">
        <f t="shared" si="24"/>
        <v/>
      </c>
      <c r="K548" s="98" t="str">
        <f t="shared" si="25"/>
        <v/>
      </c>
      <c r="L548" s="40" t="str">
        <f t="shared" si="26"/>
        <v/>
      </c>
    </row>
    <row r="549" spans="1:12" x14ac:dyDescent="0.25">
      <c r="A549" s="41"/>
      <c r="B549" s="41"/>
      <c r="C549" s="41"/>
      <c r="D549" s="41"/>
      <c r="E549" s="41"/>
      <c r="F549" s="83"/>
      <c r="G549" s="41"/>
      <c r="H549" s="48"/>
      <c r="I549" s="48"/>
      <c r="J549" s="41" t="str">
        <f t="shared" si="24"/>
        <v/>
      </c>
      <c r="K549" s="98" t="str">
        <f t="shared" si="25"/>
        <v/>
      </c>
      <c r="L549" s="40" t="str">
        <f t="shared" si="26"/>
        <v/>
      </c>
    </row>
    <row r="550" spans="1:12" x14ac:dyDescent="0.25">
      <c r="A550" s="41"/>
      <c r="B550" s="41"/>
      <c r="C550" s="41"/>
      <c r="D550" s="41"/>
      <c r="E550" s="41"/>
      <c r="F550" s="83"/>
      <c r="G550" s="41"/>
      <c r="H550" s="48"/>
      <c r="I550" s="48"/>
      <c r="J550" s="41" t="str">
        <f t="shared" si="24"/>
        <v/>
      </c>
      <c r="K550" s="98" t="str">
        <f t="shared" si="25"/>
        <v/>
      </c>
      <c r="L550" s="40" t="str">
        <f t="shared" si="26"/>
        <v/>
      </c>
    </row>
    <row r="551" spans="1:12" x14ac:dyDescent="0.25">
      <c r="A551" s="41"/>
      <c r="B551" s="41"/>
      <c r="C551" s="41"/>
      <c r="D551" s="41"/>
      <c r="E551" s="41"/>
      <c r="F551" s="83"/>
      <c r="G551" s="41"/>
      <c r="H551" s="48"/>
      <c r="I551" s="48"/>
      <c r="J551" s="41" t="str">
        <f t="shared" si="24"/>
        <v/>
      </c>
      <c r="K551" s="98" t="str">
        <f t="shared" si="25"/>
        <v/>
      </c>
      <c r="L551" s="40" t="str">
        <f t="shared" si="26"/>
        <v/>
      </c>
    </row>
    <row r="552" spans="1:12" x14ac:dyDescent="0.25">
      <c r="A552" s="41"/>
      <c r="B552" s="41"/>
      <c r="C552" s="41"/>
      <c r="D552" s="41"/>
      <c r="E552" s="41"/>
      <c r="F552" s="83"/>
      <c r="G552" s="41"/>
      <c r="H552" s="48"/>
      <c r="I552" s="48"/>
      <c r="J552" s="41" t="str">
        <f t="shared" si="24"/>
        <v/>
      </c>
      <c r="K552" s="98" t="str">
        <f t="shared" si="25"/>
        <v/>
      </c>
      <c r="L552" s="40" t="str">
        <f t="shared" si="26"/>
        <v/>
      </c>
    </row>
    <row r="553" spans="1:12" x14ac:dyDescent="0.25">
      <c r="A553" s="41"/>
      <c r="B553" s="41"/>
      <c r="C553" s="41"/>
      <c r="D553" s="41"/>
      <c r="E553" s="41"/>
      <c r="F553" s="83"/>
      <c r="G553" s="41"/>
      <c r="H553" s="48"/>
      <c r="I553" s="48"/>
      <c r="J553" s="41" t="str">
        <f t="shared" si="24"/>
        <v/>
      </c>
      <c r="K553" s="98" t="str">
        <f t="shared" si="25"/>
        <v/>
      </c>
      <c r="L553" s="40" t="str">
        <f t="shared" si="26"/>
        <v/>
      </c>
    </row>
    <row r="554" spans="1:12" x14ac:dyDescent="0.25">
      <c r="A554" s="41"/>
      <c r="B554" s="41"/>
      <c r="C554" s="41"/>
      <c r="D554" s="41"/>
      <c r="E554" s="41"/>
      <c r="F554" s="83"/>
      <c r="G554" s="41"/>
      <c r="H554" s="48"/>
      <c r="I554" s="48"/>
      <c r="J554" s="41" t="str">
        <f t="shared" si="24"/>
        <v/>
      </c>
      <c r="K554" s="98" t="str">
        <f t="shared" si="25"/>
        <v/>
      </c>
      <c r="L554" s="40" t="str">
        <f t="shared" si="26"/>
        <v/>
      </c>
    </row>
    <row r="555" spans="1:12" x14ac:dyDescent="0.25">
      <c r="A555" s="41"/>
      <c r="B555" s="41"/>
      <c r="C555" s="41"/>
      <c r="D555" s="41"/>
      <c r="E555" s="41"/>
      <c r="F555" s="83"/>
      <c r="G555" s="41"/>
      <c r="H555" s="48"/>
      <c r="I555" s="48"/>
      <c r="J555" s="41" t="str">
        <f t="shared" si="24"/>
        <v/>
      </c>
      <c r="K555" s="98" t="str">
        <f t="shared" si="25"/>
        <v/>
      </c>
      <c r="L555" s="40" t="str">
        <f t="shared" si="26"/>
        <v/>
      </c>
    </row>
    <row r="556" spans="1:12" x14ac:dyDescent="0.25">
      <c r="A556" s="41"/>
      <c r="B556" s="41"/>
      <c r="C556" s="41"/>
      <c r="D556" s="41"/>
      <c r="E556" s="41"/>
      <c r="F556" s="83"/>
      <c r="G556" s="41"/>
      <c r="H556" s="48"/>
      <c r="I556" s="48"/>
      <c r="J556" s="41" t="str">
        <f t="shared" si="24"/>
        <v/>
      </c>
      <c r="K556" s="98" t="str">
        <f t="shared" si="25"/>
        <v/>
      </c>
      <c r="L556" s="40" t="str">
        <f t="shared" si="26"/>
        <v/>
      </c>
    </row>
    <row r="557" spans="1:12" x14ac:dyDescent="0.25">
      <c r="A557" s="41"/>
      <c r="B557" s="41"/>
      <c r="C557" s="41"/>
      <c r="D557" s="41"/>
      <c r="E557" s="41"/>
      <c r="F557" s="83"/>
      <c r="G557" s="41"/>
      <c r="H557" s="48"/>
      <c r="I557" s="48"/>
      <c r="J557" s="41" t="str">
        <f t="shared" si="24"/>
        <v/>
      </c>
      <c r="K557" s="98" t="str">
        <f t="shared" si="25"/>
        <v/>
      </c>
      <c r="L557" s="40" t="str">
        <f t="shared" si="26"/>
        <v/>
      </c>
    </row>
    <row r="558" spans="1:12" x14ac:dyDescent="0.25">
      <c r="A558" s="41"/>
      <c r="B558" s="41"/>
      <c r="C558" s="41"/>
      <c r="D558" s="41"/>
      <c r="E558" s="41"/>
      <c r="F558" s="83"/>
      <c r="G558" s="41"/>
      <c r="H558" s="48"/>
      <c r="I558" s="48"/>
      <c r="J558" s="41" t="str">
        <f t="shared" si="24"/>
        <v/>
      </c>
      <c r="K558" s="98" t="str">
        <f t="shared" si="25"/>
        <v/>
      </c>
      <c r="L558" s="40" t="str">
        <f t="shared" si="26"/>
        <v/>
      </c>
    </row>
    <row r="559" spans="1:12" x14ac:dyDescent="0.25">
      <c r="A559" s="41"/>
      <c r="B559" s="41"/>
      <c r="C559" s="41"/>
      <c r="D559" s="41"/>
      <c r="E559" s="41"/>
      <c r="F559" s="83"/>
      <c r="G559" s="41"/>
      <c r="H559" s="48"/>
      <c r="I559" s="48"/>
      <c r="J559" s="41" t="str">
        <f t="shared" si="24"/>
        <v/>
      </c>
      <c r="K559" s="98" t="str">
        <f t="shared" si="25"/>
        <v/>
      </c>
      <c r="L559" s="40" t="str">
        <f t="shared" si="26"/>
        <v/>
      </c>
    </row>
    <row r="560" spans="1:12" x14ac:dyDescent="0.25">
      <c r="A560" s="41"/>
      <c r="B560" s="41"/>
      <c r="C560" s="41"/>
      <c r="D560" s="41"/>
      <c r="E560" s="41"/>
      <c r="F560" s="83"/>
      <c r="G560" s="41"/>
      <c r="H560" s="48"/>
      <c r="I560" s="48"/>
      <c r="J560" s="41" t="str">
        <f t="shared" si="24"/>
        <v/>
      </c>
      <c r="K560" s="98" t="str">
        <f t="shared" si="25"/>
        <v/>
      </c>
      <c r="L560" s="40" t="str">
        <f t="shared" si="26"/>
        <v/>
      </c>
    </row>
    <row r="561" spans="1:12" x14ac:dyDescent="0.25">
      <c r="A561" s="41"/>
      <c r="B561" s="41"/>
      <c r="C561" s="41"/>
      <c r="D561" s="41"/>
      <c r="E561" s="41"/>
      <c r="F561" s="83"/>
      <c r="G561" s="41"/>
      <c r="H561" s="48"/>
      <c r="I561" s="48"/>
      <c r="J561" s="41" t="str">
        <f t="shared" si="24"/>
        <v/>
      </c>
      <c r="K561" s="98" t="str">
        <f t="shared" si="25"/>
        <v/>
      </c>
      <c r="L561" s="40" t="str">
        <f t="shared" si="26"/>
        <v/>
      </c>
    </row>
    <row r="562" spans="1:12" x14ac:dyDescent="0.25">
      <c r="A562" s="41"/>
      <c r="B562" s="41"/>
      <c r="C562" s="41"/>
      <c r="D562" s="41"/>
      <c r="E562" s="41"/>
      <c r="F562" s="83"/>
      <c r="G562" s="41"/>
      <c r="H562" s="48"/>
      <c r="I562" s="48"/>
      <c r="J562" s="41" t="str">
        <f t="shared" si="24"/>
        <v/>
      </c>
      <c r="K562" s="98" t="str">
        <f t="shared" si="25"/>
        <v/>
      </c>
      <c r="L562" s="40" t="str">
        <f t="shared" si="26"/>
        <v/>
      </c>
    </row>
    <row r="563" spans="1:12" x14ac:dyDescent="0.25">
      <c r="A563" s="41"/>
      <c r="B563" s="41"/>
      <c r="C563" s="41"/>
      <c r="D563" s="41"/>
      <c r="E563" s="41"/>
      <c r="F563" s="83"/>
      <c r="G563" s="41"/>
      <c r="H563" s="48"/>
      <c r="I563" s="48"/>
      <c r="J563" s="41" t="str">
        <f t="shared" si="24"/>
        <v/>
      </c>
      <c r="K563" s="98" t="str">
        <f t="shared" si="25"/>
        <v/>
      </c>
      <c r="L563" s="40" t="str">
        <f t="shared" si="26"/>
        <v/>
      </c>
    </row>
    <row r="564" spans="1:12" x14ac:dyDescent="0.25">
      <c r="A564" s="41"/>
      <c r="B564" s="41"/>
      <c r="C564" s="41"/>
      <c r="D564" s="41"/>
      <c r="E564" s="41"/>
      <c r="F564" s="83"/>
      <c r="G564" s="41"/>
      <c r="H564" s="48"/>
      <c r="I564" s="48"/>
      <c r="J564" s="41" t="str">
        <f t="shared" si="24"/>
        <v/>
      </c>
      <c r="K564" s="98" t="str">
        <f t="shared" si="25"/>
        <v/>
      </c>
      <c r="L564" s="40" t="str">
        <f t="shared" si="26"/>
        <v/>
      </c>
    </row>
    <row r="565" spans="1:12" x14ac:dyDescent="0.25">
      <c r="A565" s="41"/>
      <c r="B565" s="41"/>
      <c r="C565" s="41"/>
      <c r="D565" s="41"/>
      <c r="E565" s="41"/>
      <c r="F565" s="83"/>
      <c r="G565" s="41"/>
      <c r="H565" s="48"/>
      <c r="I565" s="48"/>
      <c r="J565" s="41" t="str">
        <f t="shared" si="24"/>
        <v/>
      </c>
      <c r="K565" s="98" t="str">
        <f t="shared" si="25"/>
        <v/>
      </c>
      <c r="L565" s="40" t="str">
        <f t="shared" si="26"/>
        <v/>
      </c>
    </row>
    <row r="566" spans="1:12" x14ac:dyDescent="0.25">
      <c r="A566" s="41"/>
      <c r="B566" s="41"/>
      <c r="C566" s="41"/>
      <c r="D566" s="41"/>
      <c r="E566" s="41"/>
      <c r="F566" s="83"/>
      <c r="G566" s="41"/>
      <c r="H566" s="48"/>
      <c r="I566" s="48"/>
      <c r="J566" s="41" t="str">
        <f t="shared" si="24"/>
        <v/>
      </c>
      <c r="K566" s="98" t="str">
        <f t="shared" si="25"/>
        <v/>
      </c>
      <c r="L566" s="40" t="str">
        <f t="shared" si="26"/>
        <v/>
      </c>
    </row>
    <row r="567" spans="1:12" x14ac:dyDescent="0.25">
      <c r="A567" s="41"/>
      <c r="B567" s="41"/>
      <c r="C567" s="41"/>
      <c r="D567" s="41"/>
      <c r="E567" s="41"/>
      <c r="F567" s="83"/>
      <c r="G567" s="41"/>
      <c r="H567" s="48"/>
      <c r="I567" s="48"/>
      <c r="J567" s="41" t="str">
        <f t="shared" si="24"/>
        <v/>
      </c>
      <c r="K567" s="98" t="str">
        <f t="shared" si="25"/>
        <v/>
      </c>
      <c r="L567" s="40" t="str">
        <f t="shared" si="26"/>
        <v/>
      </c>
    </row>
    <row r="568" spans="1:12" x14ac:dyDescent="0.25">
      <c r="A568" s="41"/>
      <c r="B568" s="41"/>
      <c r="C568" s="41"/>
      <c r="D568" s="41"/>
      <c r="E568" s="41"/>
      <c r="F568" s="83"/>
      <c r="G568" s="41"/>
      <c r="H568" s="48"/>
      <c r="I568" s="48"/>
      <c r="J568" s="41" t="str">
        <f t="shared" si="24"/>
        <v/>
      </c>
      <c r="K568" s="98" t="str">
        <f t="shared" si="25"/>
        <v/>
      </c>
      <c r="L568" s="40" t="str">
        <f t="shared" si="26"/>
        <v/>
      </c>
    </row>
    <row r="569" spans="1:12" x14ac:dyDescent="0.25">
      <c r="A569" s="41"/>
      <c r="B569" s="41"/>
      <c r="C569" s="41"/>
      <c r="D569" s="41"/>
      <c r="E569" s="41"/>
      <c r="F569" s="83"/>
      <c r="G569" s="41"/>
      <c r="H569" s="48"/>
      <c r="I569" s="48"/>
      <c r="J569" s="41" t="str">
        <f t="shared" si="24"/>
        <v/>
      </c>
      <c r="K569" s="98" t="str">
        <f t="shared" si="25"/>
        <v/>
      </c>
      <c r="L569" s="40" t="str">
        <f t="shared" si="26"/>
        <v/>
      </c>
    </row>
    <row r="570" spans="1:12" x14ac:dyDescent="0.25">
      <c r="A570" s="41"/>
      <c r="B570" s="41"/>
      <c r="C570" s="41"/>
      <c r="D570" s="41"/>
      <c r="E570" s="41"/>
      <c r="F570" s="83"/>
      <c r="G570" s="41"/>
      <c r="H570" s="48"/>
      <c r="I570" s="48"/>
      <c r="J570" s="41" t="str">
        <f t="shared" si="24"/>
        <v/>
      </c>
      <c r="K570" s="98" t="str">
        <f t="shared" si="25"/>
        <v/>
      </c>
      <c r="L570" s="40" t="str">
        <f t="shared" si="26"/>
        <v/>
      </c>
    </row>
    <row r="571" spans="1:12" x14ac:dyDescent="0.25">
      <c r="A571" s="41"/>
      <c r="B571" s="41"/>
      <c r="C571" s="41"/>
      <c r="D571" s="41"/>
      <c r="E571" s="41"/>
      <c r="F571" s="83"/>
      <c r="G571" s="41"/>
      <c r="H571" s="48"/>
      <c r="I571" s="48"/>
      <c r="J571" s="41" t="str">
        <f t="shared" si="24"/>
        <v/>
      </c>
      <c r="K571" s="98" t="str">
        <f t="shared" si="25"/>
        <v/>
      </c>
      <c r="L571" s="40" t="str">
        <f t="shared" si="26"/>
        <v/>
      </c>
    </row>
    <row r="572" spans="1:12" x14ac:dyDescent="0.25">
      <c r="A572" s="41"/>
      <c r="B572" s="41"/>
      <c r="C572" s="41"/>
      <c r="D572" s="41"/>
      <c r="E572" s="41"/>
      <c r="F572" s="83"/>
      <c r="G572" s="41"/>
      <c r="H572" s="48"/>
      <c r="I572" s="48"/>
      <c r="J572" s="41" t="str">
        <f t="shared" si="24"/>
        <v/>
      </c>
      <c r="K572" s="98" t="str">
        <f t="shared" si="25"/>
        <v/>
      </c>
      <c r="L572" s="40" t="str">
        <f t="shared" si="26"/>
        <v/>
      </c>
    </row>
    <row r="573" spans="1:12" x14ac:dyDescent="0.25">
      <c r="A573" s="41"/>
      <c r="B573" s="41"/>
      <c r="C573" s="41"/>
      <c r="D573" s="41"/>
      <c r="E573" s="41"/>
      <c r="F573" s="83"/>
      <c r="G573" s="41"/>
      <c r="H573" s="48"/>
      <c r="I573" s="48"/>
      <c r="J573" s="41" t="str">
        <f t="shared" si="24"/>
        <v/>
      </c>
      <c r="K573" s="98" t="str">
        <f t="shared" si="25"/>
        <v/>
      </c>
      <c r="L573" s="40" t="str">
        <f t="shared" si="26"/>
        <v/>
      </c>
    </row>
    <row r="574" spans="1:12" x14ac:dyDescent="0.25">
      <c r="A574" s="41"/>
      <c r="B574" s="41"/>
      <c r="C574" s="41"/>
      <c r="D574" s="41"/>
      <c r="E574" s="41"/>
      <c r="F574" s="83"/>
      <c r="G574" s="41"/>
      <c r="H574" s="48"/>
      <c r="I574" s="48"/>
      <c r="J574" s="41" t="str">
        <f t="shared" si="24"/>
        <v/>
      </c>
      <c r="K574" s="98" t="str">
        <f t="shared" si="25"/>
        <v/>
      </c>
      <c r="L574" s="40" t="str">
        <f t="shared" si="26"/>
        <v/>
      </c>
    </row>
    <row r="575" spans="1:12" x14ac:dyDescent="0.25">
      <c r="A575" s="41"/>
      <c r="B575" s="41"/>
      <c r="C575" s="41"/>
      <c r="D575" s="41"/>
      <c r="E575" s="41"/>
      <c r="F575" s="83"/>
      <c r="G575" s="41"/>
      <c r="H575" s="48"/>
      <c r="I575" s="48"/>
      <c r="J575" s="41" t="str">
        <f t="shared" si="24"/>
        <v/>
      </c>
      <c r="K575" s="98" t="str">
        <f t="shared" si="25"/>
        <v/>
      </c>
      <c r="L575" s="40" t="str">
        <f t="shared" si="26"/>
        <v/>
      </c>
    </row>
    <row r="576" spans="1:12" x14ac:dyDescent="0.25">
      <c r="A576" s="41"/>
      <c r="B576" s="41"/>
      <c r="C576" s="41"/>
      <c r="D576" s="41"/>
      <c r="E576" s="41"/>
      <c r="F576" s="83"/>
      <c r="G576" s="41"/>
      <c r="H576" s="48"/>
      <c r="I576" s="48"/>
      <c r="J576" s="41" t="str">
        <f t="shared" si="24"/>
        <v/>
      </c>
      <c r="K576" s="98" t="str">
        <f t="shared" si="25"/>
        <v/>
      </c>
      <c r="L576" s="40" t="str">
        <f t="shared" si="26"/>
        <v/>
      </c>
    </row>
    <row r="577" spans="1:12" x14ac:dyDescent="0.25">
      <c r="A577" s="41"/>
      <c r="B577" s="41"/>
      <c r="C577" s="41"/>
      <c r="D577" s="41"/>
      <c r="E577" s="41"/>
      <c r="F577" s="83"/>
      <c r="G577" s="41"/>
      <c r="H577" s="48"/>
      <c r="I577" s="48"/>
      <c r="J577" s="41" t="str">
        <f t="shared" si="24"/>
        <v/>
      </c>
      <c r="K577" s="98" t="str">
        <f t="shared" si="25"/>
        <v/>
      </c>
      <c r="L577" s="40" t="str">
        <f t="shared" si="26"/>
        <v/>
      </c>
    </row>
    <row r="578" spans="1:12" x14ac:dyDescent="0.25">
      <c r="A578" s="41"/>
      <c r="B578" s="41"/>
      <c r="C578" s="41"/>
      <c r="D578" s="41"/>
      <c r="E578" s="41"/>
      <c r="F578" s="83"/>
      <c r="G578" s="41"/>
      <c r="H578" s="48"/>
      <c r="I578" s="48"/>
      <c r="J578" s="41" t="str">
        <f t="shared" si="24"/>
        <v/>
      </c>
      <c r="K578" s="98" t="str">
        <f t="shared" si="25"/>
        <v/>
      </c>
      <c r="L578" s="40" t="str">
        <f t="shared" si="26"/>
        <v/>
      </c>
    </row>
    <row r="579" spans="1:12" x14ac:dyDescent="0.25">
      <c r="A579" s="41"/>
      <c r="B579" s="41"/>
      <c r="C579" s="41"/>
      <c r="D579" s="41"/>
      <c r="E579" s="41"/>
      <c r="F579" s="83"/>
      <c r="G579" s="41"/>
      <c r="H579" s="48"/>
      <c r="I579" s="48"/>
      <c r="J579" s="41" t="str">
        <f t="shared" si="24"/>
        <v/>
      </c>
      <c r="K579" s="98" t="str">
        <f t="shared" si="25"/>
        <v/>
      </c>
      <c r="L579" s="40" t="str">
        <f t="shared" si="26"/>
        <v/>
      </c>
    </row>
    <row r="580" spans="1:12" x14ac:dyDescent="0.25">
      <c r="A580" s="41"/>
      <c r="B580" s="41"/>
      <c r="C580" s="41"/>
      <c r="D580" s="41"/>
      <c r="E580" s="41"/>
      <c r="F580" s="83"/>
      <c r="G580" s="41"/>
      <c r="H580" s="48"/>
      <c r="I580" s="48"/>
      <c r="J580" s="41" t="str">
        <f t="shared" si="24"/>
        <v/>
      </c>
      <c r="K580" s="98" t="str">
        <f t="shared" si="25"/>
        <v/>
      </c>
      <c r="L580" s="40" t="str">
        <f t="shared" si="26"/>
        <v/>
      </c>
    </row>
    <row r="581" spans="1:12" x14ac:dyDescent="0.25">
      <c r="A581" s="41"/>
      <c r="B581" s="41"/>
      <c r="C581" s="41"/>
      <c r="D581" s="41"/>
      <c r="E581" s="41"/>
      <c r="F581" s="83"/>
      <c r="G581" s="41"/>
      <c r="H581" s="48"/>
      <c r="I581" s="48"/>
      <c r="J581" s="41" t="str">
        <f t="shared" si="24"/>
        <v/>
      </c>
      <c r="K581" s="98" t="str">
        <f t="shared" si="25"/>
        <v/>
      </c>
      <c r="L581" s="40" t="str">
        <f t="shared" si="26"/>
        <v/>
      </c>
    </row>
    <row r="582" spans="1:12" x14ac:dyDescent="0.25">
      <c r="A582" s="41"/>
      <c r="B582" s="41"/>
      <c r="C582" s="41"/>
      <c r="D582" s="41"/>
      <c r="E582" s="41"/>
      <c r="F582" s="83"/>
      <c r="G582" s="41"/>
      <c r="H582" s="48"/>
      <c r="I582" s="48"/>
      <c r="J582" s="41" t="str">
        <f t="shared" si="24"/>
        <v/>
      </c>
      <c r="K582" s="98" t="str">
        <f t="shared" si="25"/>
        <v/>
      </c>
      <c r="L582" s="40" t="str">
        <f t="shared" si="26"/>
        <v/>
      </c>
    </row>
    <row r="583" spans="1:12" x14ac:dyDescent="0.25">
      <c r="A583" s="41"/>
      <c r="B583" s="41"/>
      <c r="C583" s="41"/>
      <c r="D583" s="41"/>
      <c r="E583" s="41"/>
      <c r="F583" s="83"/>
      <c r="G583" s="41"/>
      <c r="H583" s="48"/>
      <c r="I583" s="48"/>
      <c r="J583" s="41" t="str">
        <f t="shared" si="24"/>
        <v/>
      </c>
      <c r="K583" s="98" t="str">
        <f t="shared" si="25"/>
        <v/>
      </c>
      <c r="L583" s="40" t="str">
        <f t="shared" si="26"/>
        <v/>
      </c>
    </row>
    <row r="584" spans="1:12" x14ac:dyDescent="0.25">
      <c r="A584" s="41"/>
      <c r="B584" s="41"/>
      <c r="C584" s="41"/>
      <c r="D584" s="41"/>
      <c r="E584" s="41"/>
      <c r="F584" s="83"/>
      <c r="G584" s="41"/>
      <c r="H584" s="48"/>
      <c r="I584" s="48"/>
      <c r="J584" s="41" t="str">
        <f t="shared" si="24"/>
        <v/>
      </c>
      <c r="K584" s="98" t="str">
        <f t="shared" si="25"/>
        <v/>
      </c>
      <c r="L584" s="40" t="str">
        <f t="shared" si="26"/>
        <v/>
      </c>
    </row>
    <row r="585" spans="1:12" x14ac:dyDescent="0.25">
      <c r="A585" s="41"/>
      <c r="B585" s="41"/>
      <c r="C585" s="41"/>
      <c r="D585" s="41"/>
      <c r="E585" s="41"/>
      <c r="F585" s="83"/>
      <c r="G585" s="41"/>
      <c r="H585" s="48"/>
      <c r="I585" s="48"/>
      <c r="J585" s="41" t="str">
        <f t="shared" si="24"/>
        <v/>
      </c>
      <c r="K585" s="98" t="str">
        <f t="shared" si="25"/>
        <v/>
      </c>
      <c r="L585" s="40" t="str">
        <f t="shared" si="26"/>
        <v/>
      </c>
    </row>
    <row r="586" spans="1:12" x14ac:dyDescent="0.25">
      <c r="A586" s="41"/>
      <c r="B586" s="41"/>
      <c r="C586" s="41"/>
      <c r="D586" s="41"/>
      <c r="E586" s="41"/>
      <c r="F586" s="83"/>
      <c r="G586" s="41"/>
      <c r="H586" s="48"/>
      <c r="I586" s="48"/>
      <c r="J586" s="41" t="str">
        <f t="shared" ref="J586:J649" si="27">IFERROR(IF(NOT(ISNUMBER(H586)),"",IF(I586="","ABSENT/NO-SUBMISSION",IF(I586&lt;K586,"No Improvement, Previous marks be assigned.", "Marks Improved"))),"")</f>
        <v/>
      </c>
      <c r="K586" s="98" t="str">
        <f t="shared" ref="K586:K649" si="28">IFERROR(VALUE(MID(F586,6,FIND("%",F586)-6))*H586/100,"")</f>
        <v/>
      </c>
      <c r="L586" s="40" t="str">
        <f t="shared" ref="L586:L649" si="29">IF(AND(G586&lt;&gt;"REPEAT COARSE",A586&lt;&gt;""),"CASE#"&amp; A586&amp;": "&amp;"It is to Inform that you have failed "&amp;E586&amp;" due to "&amp;F586&amp;" percentages. You are required to "&amp;VLOOKUP(G586,$AA$1:$AD$30,2,FALSE) &amp;" " &amp;G586&amp;VLOOKUP(G586,$AA$1:$AD$30,3,FALSE),IF(A586&lt;&gt;"","CASE#"&amp; A586&amp;": "&amp;"It is to Inform that you have failed "&amp;E586&amp;" due to "&amp;F586&amp;" percentages. You are required to  "&amp;G586&amp;" next time if you are interested to imporve this CLO.",""))</f>
        <v/>
      </c>
    </row>
    <row r="587" spans="1:12" x14ac:dyDescent="0.25">
      <c r="A587" s="41"/>
      <c r="B587" s="41"/>
      <c r="C587" s="41"/>
      <c r="D587" s="41"/>
      <c r="E587" s="41"/>
      <c r="F587" s="83"/>
      <c r="G587" s="41"/>
      <c r="H587" s="48"/>
      <c r="I587" s="48"/>
      <c r="J587" s="41" t="str">
        <f t="shared" si="27"/>
        <v/>
      </c>
      <c r="K587" s="98" t="str">
        <f t="shared" si="28"/>
        <v/>
      </c>
      <c r="L587" s="40" t="str">
        <f t="shared" si="29"/>
        <v/>
      </c>
    </row>
    <row r="588" spans="1:12" x14ac:dyDescent="0.25">
      <c r="A588" s="41"/>
      <c r="B588" s="41"/>
      <c r="C588" s="41"/>
      <c r="D588" s="41"/>
      <c r="E588" s="41"/>
      <c r="F588" s="83"/>
      <c r="G588" s="41"/>
      <c r="H588" s="48"/>
      <c r="I588" s="48"/>
      <c r="J588" s="41" t="str">
        <f t="shared" si="27"/>
        <v/>
      </c>
      <c r="K588" s="98" t="str">
        <f t="shared" si="28"/>
        <v/>
      </c>
      <c r="L588" s="40" t="str">
        <f t="shared" si="29"/>
        <v/>
      </c>
    </row>
    <row r="589" spans="1:12" x14ac:dyDescent="0.25">
      <c r="A589" s="41"/>
      <c r="B589" s="41"/>
      <c r="C589" s="41"/>
      <c r="D589" s="41"/>
      <c r="E589" s="41"/>
      <c r="F589" s="83"/>
      <c r="G589" s="41"/>
      <c r="H589" s="48"/>
      <c r="I589" s="48"/>
      <c r="J589" s="41" t="str">
        <f t="shared" si="27"/>
        <v/>
      </c>
      <c r="K589" s="98" t="str">
        <f t="shared" si="28"/>
        <v/>
      </c>
      <c r="L589" s="40" t="str">
        <f t="shared" si="29"/>
        <v/>
      </c>
    </row>
    <row r="590" spans="1:12" x14ac:dyDescent="0.25">
      <c r="A590" s="41"/>
      <c r="B590" s="41"/>
      <c r="C590" s="41"/>
      <c r="D590" s="41"/>
      <c r="E590" s="41"/>
      <c r="F590" s="83"/>
      <c r="G590" s="41"/>
      <c r="H590" s="48"/>
      <c r="I590" s="48"/>
      <c r="J590" s="41" t="str">
        <f t="shared" si="27"/>
        <v/>
      </c>
      <c r="K590" s="98" t="str">
        <f t="shared" si="28"/>
        <v/>
      </c>
      <c r="L590" s="40" t="str">
        <f t="shared" si="29"/>
        <v/>
      </c>
    </row>
    <row r="591" spans="1:12" x14ac:dyDescent="0.25">
      <c r="A591" s="41"/>
      <c r="B591" s="41"/>
      <c r="C591" s="41"/>
      <c r="D591" s="41"/>
      <c r="E591" s="41"/>
      <c r="F591" s="83"/>
      <c r="G591" s="41"/>
      <c r="H591" s="48"/>
      <c r="I591" s="48"/>
      <c r="J591" s="41" t="str">
        <f t="shared" si="27"/>
        <v/>
      </c>
      <c r="K591" s="98" t="str">
        <f t="shared" si="28"/>
        <v/>
      </c>
      <c r="L591" s="40" t="str">
        <f t="shared" si="29"/>
        <v/>
      </c>
    </row>
    <row r="592" spans="1:12" x14ac:dyDescent="0.25">
      <c r="A592" s="41"/>
      <c r="B592" s="41"/>
      <c r="C592" s="41"/>
      <c r="D592" s="41"/>
      <c r="E592" s="41"/>
      <c r="F592" s="83"/>
      <c r="G592" s="41"/>
      <c r="H592" s="48"/>
      <c r="I592" s="48"/>
      <c r="J592" s="41" t="str">
        <f t="shared" si="27"/>
        <v/>
      </c>
      <c r="K592" s="98" t="str">
        <f t="shared" si="28"/>
        <v/>
      </c>
      <c r="L592" s="40" t="str">
        <f t="shared" si="29"/>
        <v/>
      </c>
    </row>
    <row r="593" spans="1:12" x14ac:dyDescent="0.25">
      <c r="A593" s="41"/>
      <c r="B593" s="41"/>
      <c r="C593" s="41"/>
      <c r="D593" s="41"/>
      <c r="E593" s="41"/>
      <c r="F593" s="83"/>
      <c r="G593" s="41"/>
      <c r="H593" s="48"/>
      <c r="I593" s="48"/>
      <c r="J593" s="41" t="str">
        <f t="shared" si="27"/>
        <v/>
      </c>
      <c r="K593" s="98" t="str">
        <f t="shared" si="28"/>
        <v/>
      </c>
      <c r="L593" s="40" t="str">
        <f t="shared" si="29"/>
        <v/>
      </c>
    </row>
    <row r="594" spans="1:12" x14ac:dyDescent="0.25">
      <c r="A594" s="41"/>
      <c r="B594" s="41"/>
      <c r="C594" s="41"/>
      <c r="D594" s="41"/>
      <c r="E594" s="41"/>
      <c r="F594" s="83"/>
      <c r="G594" s="41"/>
      <c r="H594" s="48"/>
      <c r="I594" s="48"/>
      <c r="J594" s="41" t="str">
        <f t="shared" si="27"/>
        <v/>
      </c>
      <c r="K594" s="98" t="str">
        <f t="shared" si="28"/>
        <v/>
      </c>
      <c r="L594" s="40" t="str">
        <f t="shared" si="29"/>
        <v/>
      </c>
    </row>
    <row r="595" spans="1:12" x14ac:dyDescent="0.25">
      <c r="A595" s="41"/>
      <c r="B595" s="41"/>
      <c r="C595" s="41"/>
      <c r="D595" s="41"/>
      <c r="E595" s="41"/>
      <c r="F595" s="83"/>
      <c r="G595" s="41"/>
      <c r="H595" s="48"/>
      <c r="I595" s="48"/>
      <c r="J595" s="41" t="str">
        <f t="shared" si="27"/>
        <v/>
      </c>
      <c r="K595" s="98" t="str">
        <f t="shared" si="28"/>
        <v/>
      </c>
      <c r="L595" s="40" t="str">
        <f t="shared" si="29"/>
        <v/>
      </c>
    </row>
    <row r="596" spans="1:12" x14ac:dyDescent="0.25">
      <c r="A596" s="41"/>
      <c r="B596" s="41"/>
      <c r="C596" s="41"/>
      <c r="D596" s="41"/>
      <c r="E596" s="41"/>
      <c r="F596" s="83"/>
      <c r="G596" s="41"/>
      <c r="H596" s="48"/>
      <c r="I596" s="48"/>
      <c r="J596" s="41" t="str">
        <f t="shared" si="27"/>
        <v/>
      </c>
      <c r="K596" s="98" t="str">
        <f t="shared" si="28"/>
        <v/>
      </c>
      <c r="L596" s="40" t="str">
        <f t="shared" si="29"/>
        <v/>
      </c>
    </row>
    <row r="597" spans="1:12" x14ac:dyDescent="0.25">
      <c r="A597" s="41"/>
      <c r="B597" s="41"/>
      <c r="C597" s="41"/>
      <c r="D597" s="41"/>
      <c r="E597" s="41"/>
      <c r="F597" s="83"/>
      <c r="G597" s="41"/>
      <c r="H597" s="48"/>
      <c r="I597" s="48"/>
      <c r="J597" s="41" t="str">
        <f t="shared" si="27"/>
        <v/>
      </c>
      <c r="K597" s="98" t="str">
        <f t="shared" si="28"/>
        <v/>
      </c>
      <c r="L597" s="40" t="str">
        <f t="shared" si="29"/>
        <v/>
      </c>
    </row>
    <row r="598" spans="1:12" x14ac:dyDescent="0.25">
      <c r="A598" s="41"/>
      <c r="B598" s="41"/>
      <c r="C598" s="41"/>
      <c r="D598" s="41"/>
      <c r="E598" s="41"/>
      <c r="F598" s="83"/>
      <c r="G598" s="41"/>
      <c r="H598" s="48"/>
      <c r="I598" s="48"/>
      <c r="J598" s="41" t="str">
        <f t="shared" si="27"/>
        <v/>
      </c>
      <c r="K598" s="98" t="str">
        <f t="shared" si="28"/>
        <v/>
      </c>
      <c r="L598" s="40" t="str">
        <f t="shared" si="29"/>
        <v/>
      </c>
    </row>
    <row r="599" spans="1:12" x14ac:dyDescent="0.25">
      <c r="A599" s="41"/>
      <c r="B599" s="41"/>
      <c r="C599" s="41"/>
      <c r="D599" s="41"/>
      <c r="E599" s="41"/>
      <c r="F599" s="83"/>
      <c r="G599" s="41"/>
      <c r="H599" s="48"/>
      <c r="I599" s="48"/>
      <c r="J599" s="41" t="str">
        <f t="shared" si="27"/>
        <v/>
      </c>
      <c r="K599" s="98" t="str">
        <f t="shared" si="28"/>
        <v/>
      </c>
      <c r="L599" s="40" t="str">
        <f t="shared" si="29"/>
        <v/>
      </c>
    </row>
    <row r="600" spans="1:12" x14ac:dyDescent="0.25">
      <c r="A600" s="41"/>
      <c r="B600" s="41"/>
      <c r="C600" s="41"/>
      <c r="D600" s="41"/>
      <c r="E600" s="41"/>
      <c r="F600" s="83"/>
      <c r="G600" s="41"/>
      <c r="H600" s="48"/>
      <c r="I600" s="48"/>
      <c r="J600" s="41" t="str">
        <f t="shared" si="27"/>
        <v/>
      </c>
      <c r="K600" s="98" t="str">
        <f t="shared" si="28"/>
        <v/>
      </c>
      <c r="L600" s="40" t="str">
        <f t="shared" si="29"/>
        <v/>
      </c>
    </row>
    <row r="601" spans="1:12" x14ac:dyDescent="0.25">
      <c r="A601" s="41"/>
      <c r="B601" s="41"/>
      <c r="C601" s="41"/>
      <c r="D601" s="41"/>
      <c r="E601" s="41"/>
      <c r="F601" s="83"/>
      <c r="G601" s="41"/>
      <c r="H601" s="48"/>
      <c r="I601" s="48"/>
      <c r="J601" s="41" t="str">
        <f t="shared" si="27"/>
        <v/>
      </c>
      <c r="K601" s="98" t="str">
        <f t="shared" si="28"/>
        <v/>
      </c>
      <c r="L601" s="40" t="str">
        <f t="shared" si="29"/>
        <v/>
      </c>
    </row>
    <row r="602" spans="1:12" x14ac:dyDescent="0.25">
      <c r="A602" s="41"/>
      <c r="B602" s="41"/>
      <c r="C602" s="41"/>
      <c r="D602" s="41"/>
      <c r="E602" s="41"/>
      <c r="F602" s="83"/>
      <c r="G602" s="41"/>
      <c r="H602" s="48"/>
      <c r="I602" s="48"/>
      <c r="J602" s="41" t="str">
        <f t="shared" si="27"/>
        <v/>
      </c>
      <c r="K602" s="98" t="str">
        <f t="shared" si="28"/>
        <v/>
      </c>
      <c r="L602" s="40" t="str">
        <f t="shared" si="29"/>
        <v/>
      </c>
    </row>
    <row r="603" spans="1:12" x14ac:dyDescent="0.25">
      <c r="A603" s="41"/>
      <c r="B603" s="41"/>
      <c r="C603" s="41"/>
      <c r="D603" s="41"/>
      <c r="E603" s="41"/>
      <c r="F603" s="83"/>
      <c r="G603" s="41"/>
      <c r="H603" s="48"/>
      <c r="I603" s="48"/>
      <c r="J603" s="41" t="str">
        <f t="shared" si="27"/>
        <v/>
      </c>
      <c r="K603" s="98" t="str">
        <f t="shared" si="28"/>
        <v/>
      </c>
      <c r="L603" s="40" t="str">
        <f t="shared" si="29"/>
        <v/>
      </c>
    </row>
    <row r="604" spans="1:12" x14ac:dyDescent="0.25">
      <c r="A604" s="41"/>
      <c r="B604" s="41"/>
      <c r="C604" s="41"/>
      <c r="D604" s="41"/>
      <c r="E604" s="41"/>
      <c r="F604" s="83"/>
      <c r="G604" s="41"/>
      <c r="H604" s="48"/>
      <c r="I604" s="48"/>
      <c r="J604" s="41" t="str">
        <f t="shared" si="27"/>
        <v/>
      </c>
      <c r="K604" s="98" t="str">
        <f t="shared" si="28"/>
        <v/>
      </c>
      <c r="L604" s="40" t="str">
        <f t="shared" si="29"/>
        <v/>
      </c>
    </row>
    <row r="605" spans="1:12" x14ac:dyDescent="0.25">
      <c r="A605" s="41"/>
      <c r="B605" s="41"/>
      <c r="C605" s="41"/>
      <c r="D605" s="41"/>
      <c r="E605" s="41"/>
      <c r="F605" s="83"/>
      <c r="G605" s="41"/>
      <c r="H605" s="48"/>
      <c r="I605" s="48"/>
      <c r="J605" s="41" t="str">
        <f t="shared" si="27"/>
        <v/>
      </c>
      <c r="K605" s="98" t="str">
        <f t="shared" si="28"/>
        <v/>
      </c>
      <c r="L605" s="40" t="str">
        <f t="shared" si="29"/>
        <v/>
      </c>
    </row>
    <row r="606" spans="1:12" x14ac:dyDescent="0.25">
      <c r="A606" s="41"/>
      <c r="B606" s="41"/>
      <c r="C606" s="41"/>
      <c r="D606" s="41"/>
      <c r="E606" s="41"/>
      <c r="F606" s="83"/>
      <c r="G606" s="41"/>
      <c r="H606" s="48"/>
      <c r="I606" s="48"/>
      <c r="J606" s="41" t="str">
        <f t="shared" si="27"/>
        <v/>
      </c>
      <c r="K606" s="98" t="str">
        <f t="shared" si="28"/>
        <v/>
      </c>
      <c r="L606" s="40" t="str">
        <f t="shared" si="29"/>
        <v/>
      </c>
    </row>
    <row r="607" spans="1:12" x14ac:dyDescent="0.25">
      <c r="A607" s="41"/>
      <c r="B607" s="41"/>
      <c r="C607" s="41"/>
      <c r="D607" s="41"/>
      <c r="E607" s="41"/>
      <c r="F607" s="83"/>
      <c r="G607" s="41"/>
      <c r="H607" s="48"/>
      <c r="I607" s="48"/>
      <c r="J607" s="41" t="str">
        <f t="shared" si="27"/>
        <v/>
      </c>
      <c r="K607" s="98" t="str">
        <f t="shared" si="28"/>
        <v/>
      </c>
      <c r="L607" s="40" t="str">
        <f t="shared" si="29"/>
        <v/>
      </c>
    </row>
    <row r="608" spans="1:12" x14ac:dyDescent="0.25">
      <c r="A608" s="41"/>
      <c r="B608" s="41"/>
      <c r="C608" s="41"/>
      <c r="D608" s="41"/>
      <c r="E608" s="41"/>
      <c r="F608" s="83"/>
      <c r="G608" s="41"/>
      <c r="H608" s="48"/>
      <c r="I608" s="48"/>
      <c r="J608" s="41" t="str">
        <f t="shared" si="27"/>
        <v/>
      </c>
      <c r="K608" s="98" t="str">
        <f t="shared" si="28"/>
        <v/>
      </c>
      <c r="L608" s="40" t="str">
        <f t="shared" si="29"/>
        <v/>
      </c>
    </row>
    <row r="609" spans="1:12" x14ac:dyDescent="0.25">
      <c r="A609" s="41"/>
      <c r="B609" s="41"/>
      <c r="C609" s="41"/>
      <c r="D609" s="41"/>
      <c r="E609" s="41"/>
      <c r="F609" s="83"/>
      <c r="G609" s="41"/>
      <c r="H609" s="48"/>
      <c r="I609" s="48"/>
      <c r="J609" s="41" t="str">
        <f t="shared" si="27"/>
        <v/>
      </c>
      <c r="K609" s="98" t="str">
        <f t="shared" si="28"/>
        <v/>
      </c>
      <c r="L609" s="40" t="str">
        <f t="shared" si="29"/>
        <v/>
      </c>
    </row>
    <row r="610" spans="1:12" x14ac:dyDescent="0.25">
      <c r="A610" s="41"/>
      <c r="B610" s="41"/>
      <c r="C610" s="41"/>
      <c r="D610" s="41"/>
      <c r="E610" s="41"/>
      <c r="F610" s="83"/>
      <c r="G610" s="41"/>
      <c r="H610" s="48"/>
      <c r="I610" s="48"/>
      <c r="J610" s="41" t="str">
        <f t="shared" si="27"/>
        <v/>
      </c>
      <c r="K610" s="98" t="str">
        <f t="shared" si="28"/>
        <v/>
      </c>
      <c r="L610" s="40" t="str">
        <f t="shared" si="29"/>
        <v/>
      </c>
    </row>
    <row r="611" spans="1:12" x14ac:dyDescent="0.25">
      <c r="A611" s="41"/>
      <c r="B611" s="41"/>
      <c r="C611" s="41"/>
      <c r="D611" s="41"/>
      <c r="E611" s="41"/>
      <c r="F611" s="83"/>
      <c r="G611" s="41"/>
      <c r="H611" s="48"/>
      <c r="I611" s="48"/>
      <c r="J611" s="41" t="str">
        <f t="shared" si="27"/>
        <v/>
      </c>
      <c r="K611" s="98" t="str">
        <f t="shared" si="28"/>
        <v/>
      </c>
      <c r="L611" s="40" t="str">
        <f t="shared" si="29"/>
        <v/>
      </c>
    </row>
    <row r="612" spans="1:12" x14ac:dyDescent="0.25">
      <c r="A612" s="41"/>
      <c r="B612" s="41"/>
      <c r="C612" s="41"/>
      <c r="D612" s="41"/>
      <c r="E612" s="41"/>
      <c r="F612" s="83"/>
      <c r="G612" s="41"/>
      <c r="H612" s="48"/>
      <c r="I612" s="48"/>
      <c r="J612" s="41" t="str">
        <f t="shared" si="27"/>
        <v/>
      </c>
      <c r="K612" s="98" t="str">
        <f t="shared" si="28"/>
        <v/>
      </c>
      <c r="L612" s="40" t="str">
        <f t="shared" si="29"/>
        <v/>
      </c>
    </row>
    <row r="613" spans="1:12" x14ac:dyDescent="0.25">
      <c r="A613" s="41"/>
      <c r="B613" s="41"/>
      <c r="C613" s="41"/>
      <c r="D613" s="41"/>
      <c r="E613" s="41"/>
      <c r="F613" s="83"/>
      <c r="G613" s="41"/>
      <c r="H613" s="48"/>
      <c r="I613" s="48"/>
      <c r="J613" s="41" t="str">
        <f t="shared" si="27"/>
        <v/>
      </c>
      <c r="K613" s="98" t="str">
        <f t="shared" si="28"/>
        <v/>
      </c>
      <c r="L613" s="40" t="str">
        <f t="shared" si="29"/>
        <v/>
      </c>
    </row>
    <row r="614" spans="1:12" x14ac:dyDescent="0.25">
      <c r="A614" s="41"/>
      <c r="B614" s="41"/>
      <c r="C614" s="41"/>
      <c r="D614" s="41"/>
      <c r="E614" s="41"/>
      <c r="F614" s="83"/>
      <c r="G614" s="41"/>
      <c r="H614" s="48"/>
      <c r="I614" s="48"/>
      <c r="J614" s="41" t="str">
        <f t="shared" si="27"/>
        <v/>
      </c>
      <c r="K614" s="98" t="str">
        <f t="shared" si="28"/>
        <v/>
      </c>
      <c r="L614" s="40" t="str">
        <f t="shared" si="29"/>
        <v/>
      </c>
    </row>
    <row r="615" spans="1:12" x14ac:dyDescent="0.25">
      <c r="A615" s="41"/>
      <c r="B615" s="41"/>
      <c r="C615" s="41"/>
      <c r="D615" s="41"/>
      <c r="E615" s="41"/>
      <c r="F615" s="83"/>
      <c r="G615" s="41"/>
      <c r="H615" s="48"/>
      <c r="I615" s="48"/>
      <c r="J615" s="41" t="str">
        <f t="shared" si="27"/>
        <v/>
      </c>
      <c r="K615" s="98" t="str">
        <f t="shared" si="28"/>
        <v/>
      </c>
      <c r="L615" s="40" t="str">
        <f t="shared" si="29"/>
        <v/>
      </c>
    </row>
    <row r="616" spans="1:12" x14ac:dyDescent="0.25">
      <c r="A616" s="41"/>
      <c r="B616" s="41"/>
      <c r="C616" s="41"/>
      <c r="D616" s="41"/>
      <c r="E616" s="41"/>
      <c r="F616" s="83"/>
      <c r="G616" s="41"/>
      <c r="H616" s="48"/>
      <c r="I616" s="48"/>
      <c r="J616" s="41" t="str">
        <f t="shared" si="27"/>
        <v/>
      </c>
      <c r="K616" s="98" t="str">
        <f t="shared" si="28"/>
        <v/>
      </c>
      <c r="L616" s="40" t="str">
        <f t="shared" si="29"/>
        <v/>
      </c>
    </row>
    <row r="617" spans="1:12" x14ac:dyDescent="0.25">
      <c r="A617" s="41"/>
      <c r="B617" s="41"/>
      <c r="C617" s="41"/>
      <c r="D617" s="41"/>
      <c r="E617" s="41"/>
      <c r="F617" s="83"/>
      <c r="G617" s="41"/>
      <c r="H617" s="48"/>
      <c r="I617" s="48"/>
      <c r="J617" s="41" t="str">
        <f t="shared" si="27"/>
        <v/>
      </c>
      <c r="K617" s="98" t="str">
        <f t="shared" si="28"/>
        <v/>
      </c>
      <c r="L617" s="40" t="str">
        <f t="shared" si="29"/>
        <v/>
      </c>
    </row>
    <row r="618" spans="1:12" x14ac:dyDescent="0.25">
      <c r="A618" s="41"/>
      <c r="B618" s="41"/>
      <c r="C618" s="41"/>
      <c r="D618" s="41"/>
      <c r="E618" s="41"/>
      <c r="F618" s="83"/>
      <c r="G618" s="41"/>
      <c r="H618" s="48"/>
      <c r="I618" s="48"/>
      <c r="J618" s="41" t="str">
        <f t="shared" si="27"/>
        <v/>
      </c>
      <c r="K618" s="98" t="str">
        <f t="shared" si="28"/>
        <v/>
      </c>
      <c r="L618" s="40" t="str">
        <f t="shared" si="29"/>
        <v/>
      </c>
    </row>
    <row r="619" spans="1:12" x14ac:dyDescent="0.25">
      <c r="A619" s="41"/>
      <c r="B619" s="41"/>
      <c r="C619" s="41"/>
      <c r="D619" s="41"/>
      <c r="E619" s="41"/>
      <c r="F619" s="83"/>
      <c r="G619" s="41"/>
      <c r="H619" s="48"/>
      <c r="I619" s="48"/>
      <c r="J619" s="41" t="str">
        <f t="shared" si="27"/>
        <v/>
      </c>
      <c r="K619" s="98" t="str">
        <f t="shared" si="28"/>
        <v/>
      </c>
      <c r="L619" s="40" t="str">
        <f t="shared" si="29"/>
        <v/>
      </c>
    </row>
    <row r="620" spans="1:12" x14ac:dyDescent="0.25">
      <c r="A620" s="41"/>
      <c r="B620" s="41"/>
      <c r="C620" s="41"/>
      <c r="D620" s="41"/>
      <c r="E620" s="41"/>
      <c r="F620" s="83"/>
      <c r="G620" s="41"/>
      <c r="H620" s="48"/>
      <c r="I620" s="48"/>
      <c r="J620" s="41" t="str">
        <f t="shared" si="27"/>
        <v/>
      </c>
      <c r="K620" s="98" t="str">
        <f t="shared" si="28"/>
        <v/>
      </c>
      <c r="L620" s="40" t="str">
        <f t="shared" si="29"/>
        <v/>
      </c>
    </row>
    <row r="621" spans="1:12" x14ac:dyDescent="0.25">
      <c r="A621" s="41"/>
      <c r="B621" s="41"/>
      <c r="C621" s="41"/>
      <c r="D621" s="41"/>
      <c r="E621" s="41"/>
      <c r="F621" s="83"/>
      <c r="G621" s="41"/>
      <c r="H621" s="48"/>
      <c r="I621" s="48"/>
      <c r="J621" s="41" t="str">
        <f t="shared" si="27"/>
        <v/>
      </c>
      <c r="K621" s="98" t="str">
        <f t="shared" si="28"/>
        <v/>
      </c>
      <c r="L621" s="40" t="str">
        <f t="shared" si="29"/>
        <v/>
      </c>
    </row>
    <row r="622" spans="1:12" x14ac:dyDescent="0.25">
      <c r="A622" s="41"/>
      <c r="B622" s="41"/>
      <c r="C622" s="41"/>
      <c r="D622" s="41"/>
      <c r="E622" s="41"/>
      <c r="F622" s="83"/>
      <c r="G622" s="41"/>
      <c r="H622" s="48"/>
      <c r="I622" s="48"/>
      <c r="J622" s="41" t="str">
        <f t="shared" si="27"/>
        <v/>
      </c>
      <c r="K622" s="98" t="str">
        <f t="shared" si="28"/>
        <v/>
      </c>
      <c r="L622" s="40" t="str">
        <f t="shared" si="29"/>
        <v/>
      </c>
    </row>
    <row r="623" spans="1:12" x14ac:dyDescent="0.25">
      <c r="A623" s="41"/>
      <c r="B623" s="41"/>
      <c r="C623" s="41"/>
      <c r="D623" s="41"/>
      <c r="E623" s="41"/>
      <c r="F623" s="83"/>
      <c r="G623" s="41"/>
      <c r="H623" s="48"/>
      <c r="I623" s="48"/>
      <c r="J623" s="41" t="str">
        <f t="shared" si="27"/>
        <v/>
      </c>
      <c r="K623" s="98" t="str">
        <f t="shared" si="28"/>
        <v/>
      </c>
      <c r="L623" s="40" t="str">
        <f t="shared" si="29"/>
        <v/>
      </c>
    </row>
    <row r="624" spans="1:12" x14ac:dyDescent="0.25">
      <c r="A624" s="41"/>
      <c r="B624" s="41"/>
      <c r="C624" s="41"/>
      <c r="D624" s="41"/>
      <c r="E624" s="41"/>
      <c r="F624" s="83"/>
      <c r="G624" s="41"/>
      <c r="H624" s="48"/>
      <c r="I624" s="48"/>
      <c r="J624" s="41" t="str">
        <f t="shared" si="27"/>
        <v/>
      </c>
      <c r="K624" s="98" t="str">
        <f t="shared" si="28"/>
        <v/>
      </c>
      <c r="L624" s="40" t="str">
        <f t="shared" si="29"/>
        <v/>
      </c>
    </row>
    <row r="625" spans="1:12" x14ac:dyDescent="0.25">
      <c r="A625" s="41"/>
      <c r="B625" s="41"/>
      <c r="C625" s="41"/>
      <c r="D625" s="41"/>
      <c r="E625" s="41"/>
      <c r="F625" s="83"/>
      <c r="G625" s="41"/>
      <c r="H625" s="48"/>
      <c r="I625" s="48"/>
      <c r="J625" s="41" t="str">
        <f t="shared" si="27"/>
        <v/>
      </c>
      <c r="K625" s="98" t="str">
        <f t="shared" si="28"/>
        <v/>
      </c>
      <c r="L625" s="40" t="str">
        <f t="shared" si="29"/>
        <v/>
      </c>
    </row>
    <row r="626" spans="1:12" x14ac:dyDescent="0.25">
      <c r="A626" s="41"/>
      <c r="B626" s="41"/>
      <c r="C626" s="41"/>
      <c r="D626" s="41"/>
      <c r="E626" s="41"/>
      <c r="F626" s="83"/>
      <c r="G626" s="41"/>
      <c r="H626" s="48"/>
      <c r="I626" s="48"/>
      <c r="J626" s="41" t="str">
        <f t="shared" si="27"/>
        <v/>
      </c>
      <c r="K626" s="98" t="str">
        <f t="shared" si="28"/>
        <v/>
      </c>
      <c r="L626" s="40" t="str">
        <f t="shared" si="29"/>
        <v/>
      </c>
    </row>
    <row r="627" spans="1:12" x14ac:dyDescent="0.25">
      <c r="A627" s="41"/>
      <c r="B627" s="41"/>
      <c r="C627" s="41"/>
      <c r="D627" s="41"/>
      <c r="E627" s="41"/>
      <c r="F627" s="83"/>
      <c r="G627" s="41"/>
      <c r="H627" s="48"/>
      <c r="I627" s="48"/>
      <c r="J627" s="41" t="str">
        <f t="shared" si="27"/>
        <v/>
      </c>
      <c r="K627" s="98" t="str">
        <f t="shared" si="28"/>
        <v/>
      </c>
      <c r="L627" s="40" t="str">
        <f t="shared" si="29"/>
        <v/>
      </c>
    </row>
    <row r="628" spans="1:12" x14ac:dyDescent="0.25">
      <c r="A628" s="41"/>
      <c r="B628" s="41"/>
      <c r="C628" s="41"/>
      <c r="D628" s="41"/>
      <c r="E628" s="41"/>
      <c r="F628" s="83"/>
      <c r="G628" s="41"/>
      <c r="H628" s="48"/>
      <c r="I628" s="48"/>
      <c r="J628" s="41" t="str">
        <f t="shared" si="27"/>
        <v/>
      </c>
      <c r="K628" s="98" t="str">
        <f t="shared" si="28"/>
        <v/>
      </c>
      <c r="L628" s="40" t="str">
        <f t="shared" si="29"/>
        <v/>
      </c>
    </row>
    <row r="629" spans="1:12" x14ac:dyDescent="0.25">
      <c r="A629" s="41"/>
      <c r="B629" s="41"/>
      <c r="C629" s="41"/>
      <c r="D629" s="41"/>
      <c r="E629" s="41"/>
      <c r="F629" s="83"/>
      <c r="G629" s="41"/>
      <c r="H629" s="48"/>
      <c r="I629" s="48"/>
      <c r="J629" s="41" t="str">
        <f t="shared" si="27"/>
        <v/>
      </c>
      <c r="K629" s="98" t="str">
        <f t="shared" si="28"/>
        <v/>
      </c>
      <c r="L629" s="40" t="str">
        <f t="shared" si="29"/>
        <v/>
      </c>
    </row>
    <row r="630" spans="1:12" x14ac:dyDescent="0.25">
      <c r="A630" s="41"/>
      <c r="B630" s="41"/>
      <c r="C630" s="41"/>
      <c r="D630" s="41"/>
      <c r="E630" s="41"/>
      <c r="F630" s="83"/>
      <c r="G630" s="41"/>
      <c r="H630" s="48"/>
      <c r="I630" s="48"/>
      <c r="J630" s="41" t="str">
        <f t="shared" si="27"/>
        <v/>
      </c>
      <c r="K630" s="98" t="str">
        <f t="shared" si="28"/>
        <v/>
      </c>
      <c r="L630" s="40" t="str">
        <f t="shared" si="29"/>
        <v/>
      </c>
    </row>
    <row r="631" spans="1:12" x14ac:dyDescent="0.25">
      <c r="A631" s="41"/>
      <c r="B631" s="41"/>
      <c r="C631" s="41"/>
      <c r="D631" s="41"/>
      <c r="E631" s="41"/>
      <c r="F631" s="83"/>
      <c r="G631" s="41"/>
      <c r="H631" s="48"/>
      <c r="I631" s="48"/>
      <c r="J631" s="41" t="str">
        <f t="shared" si="27"/>
        <v/>
      </c>
      <c r="K631" s="98" t="str">
        <f t="shared" si="28"/>
        <v/>
      </c>
      <c r="L631" s="40" t="str">
        <f t="shared" si="29"/>
        <v/>
      </c>
    </row>
    <row r="632" spans="1:12" x14ac:dyDescent="0.25">
      <c r="A632" s="41"/>
      <c r="B632" s="41"/>
      <c r="C632" s="41"/>
      <c r="D632" s="41"/>
      <c r="E632" s="41"/>
      <c r="F632" s="83"/>
      <c r="G632" s="41"/>
      <c r="H632" s="48"/>
      <c r="I632" s="48"/>
      <c r="J632" s="41" t="str">
        <f t="shared" si="27"/>
        <v/>
      </c>
      <c r="K632" s="98" t="str">
        <f t="shared" si="28"/>
        <v/>
      </c>
      <c r="L632" s="40" t="str">
        <f t="shared" si="29"/>
        <v/>
      </c>
    </row>
    <row r="633" spans="1:12" x14ac:dyDescent="0.25">
      <c r="A633" s="41"/>
      <c r="B633" s="41"/>
      <c r="C633" s="41"/>
      <c r="D633" s="41"/>
      <c r="E633" s="41"/>
      <c r="F633" s="83"/>
      <c r="G633" s="41"/>
      <c r="H633" s="48"/>
      <c r="I633" s="48"/>
      <c r="J633" s="41" t="str">
        <f t="shared" si="27"/>
        <v/>
      </c>
      <c r="K633" s="98" t="str">
        <f t="shared" si="28"/>
        <v/>
      </c>
      <c r="L633" s="40" t="str">
        <f t="shared" si="29"/>
        <v/>
      </c>
    </row>
    <row r="634" spans="1:12" x14ac:dyDescent="0.25">
      <c r="A634" s="41"/>
      <c r="B634" s="41"/>
      <c r="C634" s="41"/>
      <c r="D634" s="41"/>
      <c r="E634" s="41"/>
      <c r="F634" s="83"/>
      <c r="G634" s="41"/>
      <c r="H634" s="48"/>
      <c r="I634" s="48"/>
      <c r="J634" s="41" t="str">
        <f t="shared" si="27"/>
        <v/>
      </c>
      <c r="K634" s="98" t="str">
        <f t="shared" si="28"/>
        <v/>
      </c>
      <c r="L634" s="40" t="str">
        <f t="shared" si="29"/>
        <v/>
      </c>
    </row>
    <row r="635" spans="1:12" x14ac:dyDescent="0.25">
      <c r="A635" s="41"/>
      <c r="B635" s="41"/>
      <c r="C635" s="41"/>
      <c r="D635" s="41"/>
      <c r="E635" s="41"/>
      <c r="F635" s="83"/>
      <c r="G635" s="41"/>
      <c r="H635" s="48"/>
      <c r="I635" s="48"/>
      <c r="J635" s="41" t="str">
        <f t="shared" si="27"/>
        <v/>
      </c>
      <c r="K635" s="98" t="str">
        <f t="shared" si="28"/>
        <v/>
      </c>
      <c r="L635" s="40" t="str">
        <f t="shared" si="29"/>
        <v/>
      </c>
    </row>
    <row r="636" spans="1:12" x14ac:dyDescent="0.25">
      <c r="A636" s="41"/>
      <c r="B636" s="41"/>
      <c r="C636" s="41"/>
      <c r="D636" s="41"/>
      <c r="E636" s="41"/>
      <c r="F636" s="83"/>
      <c r="G636" s="41"/>
      <c r="H636" s="48"/>
      <c r="I636" s="48"/>
      <c r="J636" s="41" t="str">
        <f t="shared" si="27"/>
        <v/>
      </c>
      <c r="K636" s="98" t="str">
        <f t="shared" si="28"/>
        <v/>
      </c>
      <c r="L636" s="40" t="str">
        <f t="shared" si="29"/>
        <v/>
      </c>
    </row>
    <row r="637" spans="1:12" x14ac:dyDescent="0.25">
      <c r="A637" s="41"/>
      <c r="B637" s="41"/>
      <c r="C637" s="41"/>
      <c r="D637" s="41"/>
      <c r="E637" s="41"/>
      <c r="F637" s="83"/>
      <c r="G637" s="41"/>
      <c r="H637" s="48"/>
      <c r="I637" s="48"/>
      <c r="J637" s="41" t="str">
        <f t="shared" si="27"/>
        <v/>
      </c>
      <c r="K637" s="98" t="str">
        <f t="shared" si="28"/>
        <v/>
      </c>
      <c r="L637" s="40" t="str">
        <f t="shared" si="29"/>
        <v/>
      </c>
    </row>
    <row r="638" spans="1:12" x14ac:dyDescent="0.25">
      <c r="A638" s="41"/>
      <c r="B638" s="41"/>
      <c r="C638" s="41"/>
      <c r="D638" s="41"/>
      <c r="E638" s="41"/>
      <c r="F638" s="83"/>
      <c r="G638" s="41"/>
      <c r="H638" s="48"/>
      <c r="I638" s="48"/>
      <c r="J638" s="41" t="str">
        <f t="shared" si="27"/>
        <v/>
      </c>
      <c r="K638" s="98" t="str">
        <f t="shared" si="28"/>
        <v/>
      </c>
      <c r="L638" s="40" t="str">
        <f t="shared" si="29"/>
        <v/>
      </c>
    </row>
    <row r="639" spans="1:12" x14ac:dyDescent="0.25">
      <c r="A639" s="41"/>
      <c r="B639" s="41"/>
      <c r="C639" s="41"/>
      <c r="D639" s="41"/>
      <c r="E639" s="41"/>
      <c r="F639" s="83"/>
      <c r="G639" s="41"/>
      <c r="H639" s="48"/>
      <c r="I639" s="48"/>
      <c r="J639" s="41" t="str">
        <f t="shared" si="27"/>
        <v/>
      </c>
      <c r="K639" s="98" t="str">
        <f t="shared" si="28"/>
        <v/>
      </c>
      <c r="L639" s="40" t="str">
        <f t="shared" si="29"/>
        <v/>
      </c>
    </row>
    <row r="640" spans="1:12" x14ac:dyDescent="0.25">
      <c r="A640" s="41"/>
      <c r="B640" s="41"/>
      <c r="C640" s="41"/>
      <c r="D640" s="41"/>
      <c r="E640" s="41"/>
      <c r="F640" s="83"/>
      <c r="G640" s="41"/>
      <c r="H640" s="48"/>
      <c r="I640" s="48"/>
      <c r="J640" s="41" t="str">
        <f t="shared" si="27"/>
        <v/>
      </c>
      <c r="K640" s="98" t="str">
        <f t="shared" si="28"/>
        <v/>
      </c>
      <c r="L640" s="40" t="str">
        <f t="shared" si="29"/>
        <v/>
      </c>
    </row>
    <row r="641" spans="1:12" x14ac:dyDescent="0.25">
      <c r="A641" s="41"/>
      <c r="B641" s="41"/>
      <c r="C641" s="41"/>
      <c r="D641" s="41"/>
      <c r="E641" s="41"/>
      <c r="F641" s="83"/>
      <c r="G641" s="41"/>
      <c r="H641" s="48"/>
      <c r="I641" s="48"/>
      <c r="J641" s="41" t="str">
        <f t="shared" si="27"/>
        <v/>
      </c>
      <c r="K641" s="98" t="str">
        <f t="shared" si="28"/>
        <v/>
      </c>
      <c r="L641" s="40" t="str">
        <f t="shared" si="29"/>
        <v/>
      </c>
    </row>
    <row r="642" spans="1:12" x14ac:dyDescent="0.25">
      <c r="A642" s="41"/>
      <c r="B642" s="41"/>
      <c r="C642" s="41"/>
      <c r="D642" s="41"/>
      <c r="E642" s="41"/>
      <c r="F642" s="83"/>
      <c r="G642" s="41"/>
      <c r="H642" s="48"/>
      <c r="I642" s="48"/>
      <c r="J642" s="41" t="str">
        <f t="shared" si="27"/>
        <v/>
      </c>
      <c r="K642" s="98" t="str">
        <f t="shared" si="28"/>
        <v/>
      </c>
      <c r="L642" s="40" t="str">
        <f t="shared" si="29"/>
        <v/>
      </c>
    </row>
    <row r="643" spans="1:12" x14ac:dyDescent="0.25">
      <c r="A643" s="41"/>
      <c r="B643" s="41"/>
      <c r="C643" s="41"/>
      <c r="D643" s="41"/>
      <c r="E643" s="41"/>
      <c r="F643" s="83"/>
      <c r="G643" s="41"/>
      <c r="H643" s="48"/>
      <c r="I643" s="48"/>
      <c r="J643" s="41" t="str">
        <f t="shared" si="27"/>
        <v/>
      </c>
      <c r="K643" s="98" t="str">
        <f t="shared" si="28"/>
        <v/>
      </c>
      <c r="L643" s="40" t="str">
        <f t="shared" si="29"/>
        <v/>
      </c>
    </row>
    <row r="644" spans="1:12" x14ac:dyDescent="0.25">
      <c r="A644" s="41"/>
      <c r="B644" s="41"/>
      <c r="C644" s="41"/>
      <c r="D644" s="41"/>
      <c r="E644" s="41"/>
      <c r="F644" s="83"/>
      <c r="G644" s="41"/>
      <c r="H644" s="48"/>
      <c r="I644" s="48"/>
      <c r="J644" s="41" t="str">
        <f t="shared" si="27"/>
        <v/>
      </c>
      <c r="K644" s="98" t="str">
        <f t="shared" si="28"/>
        <v/>
      </c>
      <c r="L644" s="40" t="str">
        <f t="shared" si="29"/>
        <v/>
      </c>
    </row>
    <row r="645" spans="1:12" x14ac:dyDescent="0.25">
      <c r="A645" s="41"/>
      <c r="B645" s="41"/>
      <c r="C645" s="41"/>
      <c r="D645" s="41"/>
      <c r="E645" s="41"/>
      <c r="F645" s="83"/>
      <c r="G645" s="41"/>
      <c r="H645" s="48"/>
      <c r="I645" s="48"/>
      <c r="J645" s="41" t="str">
        <f t="shared" si="27"/>
        <v/>
      </c>
      <c r="K645" s="98" t="str">
        <f t="shared" si="28"/>
        <v/>
      </c>
      <c r="L645" s="40" t="str">
        <f t="shared" si="29"/>
        <v/>
      </c>
    </row>
    <row r="646" spans="1:12" x14ac:dyDescent="0.25">
      <c r="A646" s="41"/>
      <c r="B646" s="41"/>
      <c r="C646" s="41"/>
      <c r="D646" s="41"/>
      <c r="E646" s="41"/>
      <c r="F646" s="83"/>
      <c r="G646" s="41"/>
      <c r="H646" s="48"/>
      <c r="I646" s="48"/>
      <c r="J646" s="41" t="str">
        <f t="shared" si="27"/>
        <v/>
      </c>
      <c r="K646" s="98" t="str">
        <f t="shared" si="28"/>
        <v/>
      </c>
      <c r="L646" s="40" t="str">
        <f t="shared" si="29"/>
        <v/>
      </c>
    </row>
    <row r="647" spans="1:12" x14ac:dyDescent="0.25">
      <c r="A647" s="41"/>
      <c r="B647" s="41"/>
      <c r="C647" s="41"/>
      <c r="D647" s="41"/>
      <c r="E647" s="41"/>
      <c r="F647" s="83"/>
      <c r="G647" s="41"/>
      <c r="H647" s="48"/>
      <c r="I647" s="48"/>
      <c r="J647" s="41" t="str">
        <f t="shared" si="27"/>
        <v/>
      </c>
      <c r="K647" s="98" t="str">
        <f t="shared" si="28"/>
        <v/>
      </c>
      <c r="L647" s="40" t="str">
        <f t="shared" si="29"/>
        <v/>
      </c>
    </row>
    <row r="648" spans="1:12" x14ac:dyDescent="0.25">
      <c r="A648" s="41"/>
      <c r="B648" s="41"/>
      <c r="C648" s="41"/>
      <c r="D648" s="41"/>
      <c r="E648" s="41"/>
      <c r="F648" s="83"/>
      <c r="G648" s="41"/>
      <c r="H648" s="48"/>
      <c r="I648" s="48"/>
      <c r="J648" s="41" t="str">
        <f t="shared" si="27"/>
        <v/>
      </c>
      <c r="K648" s="98" t="str">
        <f t="shared" si="28"/>
        <v/>
      </c>
      <c r="L648" s="40" t="str">
        <f t="shared" si="29"/>
        <v/>
      </c>
    </row>
    <row r="649" spans="1:12" x14ac:dyDescent="0.25">
      <c r="A649" s="41"/>
      <c r="B649" s="41"/>
      <c r="C649" s="41"/>
      <c r="D649" s="41"/>
      <c r="E649" s="41"/>
      <c r="F649" s="83"/>
      <c r="G649" s="41"/>
      <c r="H649" s="48"/>
      <c r="I649" s="48"/>
      <c r="J649" s="41" t="str">
        <f t="shared" si="27"/>
        <v/>
      </c>
      <c r="K649" s="98" t="str">
        <f t="shared" si="28"/>
        <v/>
      </c>
      <c r="L649" s="40" t="str">
        <f t="shared" si="29"/>
        <v/>
      </c>
    </row>
    <row r="650" spans="1:12" x14ac:dyDescent="0.25">
      <c r="A650" s="41"/>
      <c r="B650" s="41"/>
      <c r="C650" s="41"/>
      <c r="D650" s="41"/>
      <c r="E650" s="41"/>
      <c r="F650" s="83"/>
      <c r="G650" s="41"/>
      <c r="H650" s="48"/>
      <c r="I650" s="48"/>
      <c r="J650" s="41" t="str">
        <f t="shared" ref="J650:J713" si="30">IFERROR(IF(NOT(ISNUMBER(H650)),"",IF(I650="","ABSENT/NO-SUBMISSION",IF(I650&lt;K650,"No Improvement, Previous marks be assigned.", "Marks Improved"))),"")</f>
        <v/>
      </c>
      <c r="K650" s="98" t="str">
        <f t="shared" ref="K650:K713" si="31">IFERROR(VALUE(MID(F650,6,FIND("%",F650)-6))*H650/100,"")</f>
        <v/>
      </c>
      <c r="L650" s="40" t="str">
        <f t="shared" ref="L650:L713" si="32">IF(AND(G650&lt;&gt;"REPEAT COARSE",A650&lt;&gt;""),"CASE#"&amp; A650&amp;": "&amp;"It is to Inform that you have failed "&amp;E650&amp;" due to "&amp;F650&amp;" percentages. You are required to "&amp;VLOOKUP(G650,$AA$1:$AD$30,2,FALSE) &amp;" " &amp;G650&amp;VLOOKUP(G650,$AA$1:$AD$30,3,FALSE),IF(A650&lt;&gt;"","CASE#"&amp; A650&amp;": "&amp;"It is to Inform that you have failed "&amp;E650&amp;" due to "&amp;F650&amp;" percentages. You are required to  "&amp;G650&amp;" next time if you are interested to imporve this CLO.",""))</f>
        <v/>
      </c>
    </row>
    <row r="651" spans="1:12" x14ac:dyDescent="0.25">
      <c r="A651" s="41"/>
      <c r="B651" s="41"/>
      <c r="C651" s="41"/>
      <c r="D651" s="41"/>
      <c r="E651" s="41"/>
      <c r="F651" s="83"/>
      <c r="G651" s="41"/>
      <c r="H651" s="48"/>
      <c r="I651" s="48"/>
      <c r="J651" s="41" t="str">
        <f t="shared" si="30"/>
        <v/>
      </c>
      <c r="K651" s="98" t="str">
        <f t="shared" si="31"/>
        <v/>
      </c>
      <c r="L651" s="40" t="str">
        <f t="shared" si="32"/>
        <v/>
      </c>
    </row>
    <row r="652" spans="1:12" x14ac:dyDescent="0.25">
      <c r="A652" s="41"/>
      <c r="B652" s="41"/>
      <c r="C652" s="41"/>
      <c r="D652" s="41"/>
      <c r="E652" s="41"/>
      <c r="F652" s="83"/>
      <c r="G652" s="41"/>
      <c r="H652" s="48"/>
      <c r="I652" s="48"/>
      <c r="J652" s="41" t="str">
        <f t="shared" si="30"/>
        <v/>
      </c>
      <c r="K652" s="98" t="str">
        <f t="shared" si="31"/>
        <v/>
      </c>
      <c r="L652" s="40" t="str">
        <f t="shared" si="32"/>
        <v/>
      </c>
    </row>
    <row r="653" spans="1:12" x14ac:dyDescent="0.25">
      <c r="A653" s="41"/>
      <c r="B653" s="41"/>
      <c r="C653" s="41"/>
      <c r="D653" s="41"/>
      <c r="E653" s="41"/>
      <c r="F653" s="83"/>
      <c r="G653" s="41"/>
      <c r="H653" s="48"/>
      <c r="I653" s="48"/>
      <c r="J653" s="41" t="str">
        <f t="shared" si="30"/>
        <v/>
      </c>
      <c r="K653" s="98" t="str">
        <f t="shared" si="31"/>
        <v/>
      </c>
      <c r="L653" s="40" t="str">
        <f t="shared" si="32"/>
        <v/>
      </c>
    </row>
    <row r="654" spans="1:12" x14ac:dyDescent="0.25">
      <c r="A654" s="41"/>
      <c r="B654" s="41"/>
      <c r="C654" s="41"/>
      <c r="D654" s="41"/>
      <c r="E654" s="41"/>
      <c r="F654" s="83"/>
      <c r="G654" s="41"/>
      <c r="H654" s="48"/>
      <c r="I654" s="48"/>
      <c r="J654" s="41" t="str">
        <f t="shared" si="30"/>
        <v/>
      </c>
      <c r="K654" s="98" t="str">
        <f t="shared" si="31"/>
        <v/>
      </c>
      <c r="L654" s="40" t="str">
        <f t="shared" si="32"/>
        <v/>
      </c>
    </row>
    <row r="655" spans="1:12" x14ac:dyDescent="0.25">
      <c r="A655" s="41"/>
      <c r="B655" s="41"/>
      <c r="C655" s="41"/>
      <c r="D655" s="41"/>
      <c r="E655" s="41"/>
      <c r="F655" s="83"/>
      <c r="G655" s="41"/>
      <c r="H655" s="48"/>
      <c r="I655" s="48"/>
      <c r="J655" s="41" t="str">
        <f t="shared" si="30"/>
        <v/>
      </c>
      <c r="K655" s="98" t="str">
        <f t="shared" si="31"/>
        <v/>
      </c>
      <c r="L655" s="40" t="str">
        <f t="shared" si="32"/>
        <v/>
      </c>
    </row>
    <row r="656" spans="1:12" x14ac:dyDescent="0.25">
      <c r="A656" s="41"/>
      <c r="B656" s="41"/>
      <c r="C656" s="41"/>
      <c r="D656" s="41"/>
      <c r="E656" s="41"/>
      <c r="F656" s="83"/>
      <c r="G656" s="41"/>
      <c r="H656" s="48"/>
      <c r="I656" s="48"/>
      <c r="J656" s="41" t="str">
        <f t="shared" si="30"/>
        <v/>
      </c>
      <c r="K656" s="98" t="str">
        <f t="shared" si="31"/>
        <v/>
      </c>
      <c r="L656" s="40" t="str">
        <f t="shared" si="32"/>
        <v/>
      </c>
    </row>
    <row r="657" spans="1:12" x14ac:dyDescent="0.25">
      <c r="A657" s="41"/>
      <c r="B657" s="41"/>
      <c r="C657" s="41"/>
      <c r="D657" s="41"/>
      <c r="E657" s="41"/>
      <c r="F657" s="83"/>
      <c r="G657" s="41"/>
      <c r="H657" s="48"/>
      <c r="I657" s="48"/>
      <c r="J657" s="41" t="str">
        <f t="shared" si="30"/>
        <v/>
      </c>
      <c r="K657" s="98" t="str">
        <f t="shared" si="31"/>
        <v/>
      </c>
      <c r="L657" s="40" t="str">
        <f t="shared" si="32"/>
        <v/>
      </c>
    </row>
    <row r="658" spans="1:12" x14ac:dyDescent="0.25">
      <c r="A658" s="41"/>
      <c r="B658" s="41"/>
      <c r="C658" s="41"/>
      <c r="D658" s="41"/>
      <c r="E658" s="41"/>
      <c r="F658" s="83"/>
      <c r="G658" s="41"/>
      <c r="H658" s="48"/>
      <c r="I658" s="48"/>
      <c r="J658" s="41" t="str">
        <f t="shared" si="30"/>
        <v/>
      </c>
      <c r="K658" s="98" t="str">
        <f t="shared" si="31"/>
        <v/>
      </c>
      <c r="L658" s="40" t="str">
        <f t="shared" si="32"/>
        <v/>
      </c>
    </row>
    <row r="659" spans="1:12" x14ac:dyDescent="0.25">
      <c r="A659" s="41"/>
      <c r="B659" s="41"/>
      <c r="C659" s="41"/>
      <c r="D659" s="41"/>
      <c r="E659" s="41"/>
      <c r="F659" s="83"/>
      <c r="G659" s="41"/>
      <c r="H659" s="48"/>
      <c r="I659" s="48"/>
      <c r="J659" s="41" t="str">
        <f t="shared" si="30"/>
        <v/>
      </c>
      <c r="K659" s="98" t="str">
        <f t="shared" si="31"/>
        <v/>
      </c>
      <c r="L659" s="40" t="str">
        <f t="shared" si="32"/>
        <v/>
      </c>
    </row>
    <row r="660" spans="1:12" x14ac:dyDescent="0.25">
      <c r="A660" s="41"/>
      <c r="B660" s="41"/>
      <c r="C660" s="41"/>
      <c r="D660" s="41"/>
      <c r="E660" s="41"/>
      <c r="F660" s="83"/>
      <c r="G660" s="41"/>
      <c r="H660" s="48"/>
      <c r="I660" s="48"/>
      <c r="J660" s="41" t="str">
        <f t="shared" si="30"/>
        <v/>
      </c>
      <c r="K660" s="98" t="str">
        <f t="shared" si="31"/>
        <v/>
      </c>
      <c r="L660" s="40" t="str">
        <f t="shared" si="32"/>
        <v/>
      </c>
    </row>
    <row r="661" spans="1:12" x14ac:dyDescent="0.25">
      <c r="A661" s="41"/>
      <c r="B661" s="41"/>
      <c r="C661" s="41"/>
      <c r="D661" s="41"/>
      <c r="E661" s="41"/>
      <c r="F661" s="83"/>
      <c r="G661" s="41"/>
      <c r="H661" s="48"/>
      <c r="I661" s="48"/>
      <c r="J661" s="41" t="str">
        <f t="shared" si="30"/>
        <v/>
      </c>
      <c r="K661" s="98" t="str">
        <f t="shared" si="31"/>
        <v/>
      </c>
      <c r="L661" s="40" t="str">
        <f t="shared" si="32"/>
        <v/>
      </c>
    </row>
    <row r="662" spans="1:12" x14ac:dyDescent="0.25">
      <c r="A662" s="41"/>
      <c r="B662" s="41"/>
      <c r="C662" s="41"/>
      <c r="D662" s="41"/>
      <c r="E662" s="41"/>
      <c r="F662" s="83"/>
      <c r="G662" s="41"/>
      <c r="H662" s="48"/>
      <c r="I662" s="48"/>
      <c r="J662" s="41" t="str">
        <f t="shared" si="30"/>
        <v/>
      </c>
      <c r="K662" s="98" t="str">
        <f t="shared" si="31"/>
        <v/>
      </c>
      <c r="L662" s="40" t="str">
        <f t="shared" si="32"/>
        <v/>
      </c>
    </row>
    <row r="663" spans="1:12" x14ac:dyDescent="0.25">
      <c r="A663" s="41"/>
      <c r="B663" s="41"/>
      <c r="C663" s="41"/>
      <c r="D663" s="41"/>
      <c r="E663" s="41"/>
      <c r="F663" s="83"/>
      <c r="G663" s="41"/>
      <c r="H663" s="48"/>
      <c r="I663" s="48"/>
      <c r="J663" s="41" t="str">
        <f t="shared" si="30"/>
        <v/>
      </c>
      <c r="K663" s="98" t="str">
        <f t="shared" si="31"/>
        <v/>
      </c>
      <c r="L663" s="40" t="str">
        <f t="shared" si="32"/>
        <v/>
      </c>
    </row>
    <row r="664" spans="1:12" x14ac:dyDescent="0.25">
      <c r="A664" s="41"/>
      <c r="B664" s="41"/>
      <c r="C664" s="41"/>
      <c r="D664" s="41"/>
      <c r="E664" s="41"/>
      <c r="F664" s="83"/>
      <c r="G664" s="41"/>
      <c r="H664" s="48"/>
      <c r="I664" s="48"/>
      <c r="J664" s="41" t="str">
        <f t="shared" si="30"/>
        <v/>
      </c>
      <c r="K664" s="98" t="str">
        <f t="shared" si="31"/>
        <v/>
      </c>
      <c r="L664" s="40" t="str">
        <f t="shared" si="32"/>
        <v/>
      </c>
    </row>
    <row r="665" spans="1:12" x14ac:dyDescent="0.25">
      <c r="A665" s="41"/>
      <c r="B665" s="41"/>
      <c r="C665" s="41"/>
      <c r="D665" s="41"/>
      <c r="E665" s="41"/>
      <c r="F665" s="83"/>
      <c r="G665" s="41"/>
      <c r="H665" s="48"/>
      <c r="I665" s="48"/>
      <c r="J665" s="41" t="str">
        <f t="shared" si="30"/>
        <v/>
      </c>
      <c r="K665" s="98" t="str">
        <f t="shared" si="31"/>
        <v/>
      </c>
      <c r="L665" s="40" t="str">
        <f t="shared" si="32"/>
        <v/>
      </c>
    </row>
    <row r="666" spans="1:12" x14ac:dyDescent="0.25">
      <c r="A666" s="41"/>
      <c r="B666" s="41"/>
      <c r="C666" s="41"/>
      <c r="D666" s="41"/>
      <c r="E666" s="41"/>
      <c r="F666" s="83"/>
      <c r="G666" s="41"/>
      <c r="H666" s="48"/>
      <c r="I666" s="48"/>
      <c r="J666" s="41" t="str">
        <f t="shared" si="30"/>
        <v/>
      </c>
      <c r="K666" s="98" t="str">
        <f t="shared" si="31"/>
        <v/>
      </c>
      <c r="L666" s="40" t="str">
        <f t="shared" si="32"/>
        <v/>
      </c>
    </row>
    <row r="667" spans="1:12" x14ac:dyDescent="0.25">
      <c r="A667" s="41"/>
      <c r="B667" s="41"/>
      <c r="C667" s="41"/>
      <c r="D667" s="41"/>
      <c r="E667" s="41"/>
      <c r="F667" s="83"/>
      <c r="G667" s="41"/>
      <c r="H667" s="48"/>
      <c r="I667" s="48"/>
      <c r="J667" s="41" t="str">
        <f t="shared" si="30"/>
        <v/>
      </c>
      <c r="K667" s="98" t="str">
        <f t="shared" si="31"/>
        <v/>
      </c>
      <c r="L667" s="40" t="str">
        <f t="shared" si="32"/>
        <v/>
      </c>
    </row>
    <row r="668" spans="1:12" x14ac:dyDescent="0.25">
      <c r="A668" s="41"/>
      <c r="B668" s="41"/>
      <c r="C668" s="41"/>
      <c r="D668" s="41"/>
      <c r="E668" s="41"/>
      <c r="F668" s="83"/>
      <c r="G668" s="41"/>
      <c r="H668" s="48"/>
      <c r="I668" s="48"/>
      <c r="J668" s="41" t="str">
        <f t="shared" si="30"/>
        <v/>
      </c>
      <c r="K668" s="98" t="str">
        <f t="shared" si="31"/>
        <v/>
      </c>
      <c r="L668" s="40" t="str">
        <f t="shared" si="32"/>
        <v/>
      </c>
    </row>
    <row r="669" spans="1:12" x14ac:dyDescent="0.25">
      <c r="A669" s="41"/>
      <c r="B669" s="41"/>
      <c r="C669" s="41"/>
      <c r="D669" s="41"/>
      <c r="E669" s="41"/>
      <c r="F669" s="83"/>
      <c r="G669" s="41"/>
      <c r="H669" s="48"/>
      <c r="I669" s="48"/>
      <c r="J669" s="41" t="str">
        <f t="shared" si="30"/>
        <v/>
      </c>
      <c r="K669" s="98" t="str">
        <f t="shared" si="31"/>
        <v/>
      </c>
      <c r="L669" s="40" t="str">
        <f t="shared" si="32"/>
        <v/>
      </c>
    </row>
    <row r="670" spans="1:12" x14ac:dyDescent="0.25">
      <c r="A670" s="41"/>
      <c r="B670" s="41"/>
      <c r="C670" s="41"/>
      <c r="D670" s="41"/>
      <c r="E670" s="41"/>
      <c r="F670" s="83"/>
      <c r="G670" s="41"/>
      <c r="H670" s="48"/>
      <c r="I670" s="48"/>
      <c r="J670" s="41" t="str">
        <f t="shared" si="30"/>
        <v/>
      </c>
      <c r="K670" s="98" t="str">
        <f t="shared" si="31"/>
        <v/>
      </c>
      <c r="L670" s="40" t="str">
        <f t="shared" si="32"/>
        <v/>
      </c>
    </row>
    <row r="671" spans="1:12" x14ac:dyDescent="0.25">
      <c r="A671" s="41"/>
      <c r="B671" s="41"/>
      <c r="C671" s="41"/>
      <c r="D671" s="41"/>
      <c r="E671" s="41"/>
      <c r="F671" s="83"/>
      <c r="G671" s="41"/>
      <c r="H671" s="48"/>
      <c r="I671" s="48"/>
      <c r="J671" s="41" t="str">
        <f t="shared" si="30"/>
        <v/>
      </c>
      <c r="K671" s="98" t="str">
        <f t="shared" si="31"/>
        <v/>
      </c>
      <c r="L671" s="40" t="str">
        <f t="shared" si="32"/>
        <v/>
      </c>
    </row>
    <row r="672" spans="1:12" x14ac:dyDescent="0.25">
      <c r="A672" s="41"/>
      <c r="B672" s="41"/>
      <c r="C672" s="41"/>
      <c r="D672" s="41"/>
      <c r="E672" s="41"/>
      <c r="F672" s="83"/>
      <c r="G672" s="41"/>
      <c r="H672" s="48"/>
      <c r="I672" s="48"/>
      <c r="J672" s="41" t="str">
        <f t="shared" si="30"/>
        <v/>
      </c>
      <c r="K672" s="98" t="str">
        <f t="shared" si="31"/>
        <v/>
      </c>
      <c r="L672" s="40" t="str">
        <f t="shared" si="32"/>
        <v/>
      </c>
    </row>
    <row r="673" spans="1:12" x14ac:dyDescent="0.25">
      <c r="A673" s="41"/>
      <c r="B673" s="41"/>
      <c r="C673" s="41"/>
      <c r="D673" s="41"/>
      <c r="E673" s="41"/>
      <c r="F673" s="83"/>
      <c r="G673" s="41"/>
      <c r="H673" s="48"/>
      <c r="I673" s="48"/>
      <c r="J673" s="41" t="str">
        <f t="shared" si="30"/>
        <v/>
      </c>
      <c r="K673" s="98" t="str">
        <f t="shared" si="31"/>
        <v/>
      </c>
      <c r="L673" s="40" t="str">
        <f t="shared" si="32"/>
        <v/>
      </c>
    </row>
    <row r="674" spans="1:12" x14ac:dyDescent="0.25">
      <c r="A674" s="41"/>
      <c r="B674" s="41"/>
      <c r="C674" s="41"/>
      <c r="D674" s="41"/>
      <c r="E674" s="41"/>
      <c r="F674" s="83"/>
      <c r="G674" s="41"/>
      <c r="H674" s="48"/>
      <c r="I674" s="48"/>
      <c r="J674" s="41" t="str">
        <f t="shared" si="30"/>
        <v/>
      </c>
      <c r="K674" s="98" t="str">
        <f t="shared" si="31"/>
        <v/>
      </c>
      <c r="L674" s="40" t="str">
        <f t="shared" si="32"/>
        <v/>
      </c>
    </row>
    <row r="675" spans="1:12" x14ac:dyDescent="0.25">
      <c r="A675" s="41"/>
      <c r="B675" s="41"/>
      <c r="C675" s="41"/>
      <c r="D675" s="41"/>
      <c r="E675" s="41"/>
      <c r="F675" s="83"/>
      <c r="G675" s="41"/>
      <c r="H675" s="48"/>
      <c r="I675" s="48"/>
      <c r="J675" s="41" t="str">
        <f t="shared" si="30"/>
        <v/>
      </c>
      <c r="K675" s="98" t="str">
        <f t="shared" si="31"/>
        <v/>
      </c>
      <c r="L675" s="40" t="str">
        <f t="shared" si="32"/>
        <v/>
      </c>
    </row>
    <row r="676" spans="1:12" x14ac:dyDescent="0.25">
      <c r="A676" s="41"/>
      <c r="B676" s="41"/>
      <c r="C676" s="41"/>
      <c r="D676" s="41"/>
      <c r="E676" s="41"/>
      <c r="F676" s="83"/>
      <c r="G676" s="41"/>
      <c r="H676" s="48"/>
      <c r="I676" s="48"/>
      <c r="J676" s="41" t="str">
        <f t="shared" si="30"/>
        <v/>
      </c>
      <c r="K676" s="98" t="str">
        <f t="shared" si="31"/>
        <v/>
      </c>
      <c r="L676" s="40" t="str">
        <f t="shared" si="32"/>
        <v/>
      </c>
    </row>
    <row r="677" spans="1:12" x14ac:dyDescent="0.25">
      <c r="A677" s="41"/>
      <c r="B677" s="41"/>
      <c r="C677" s="41"/>
      <c r="D677" s="41"/>
      <c r="E677" s="41"/>
      <c r="F677" s="83"/>
      <c r="G677" s="41"/>
      <c r="H677" s="48"/>
      <c r="I677" s="48"/>
      <c r="J677" s="41" t="str">
        <f t="shared" si="30"/>
        <v/>
      </c>
      <c r="K677" s="98" t="str">
        <f t="shared" si="31"/>
        <v/>
      </c>
      <c r="L677" s="40" t="str">
        <f t="shared" si="32"/>
        <v/>
      </c>
    </row>
    <row r="678" spans="1:12" x14ac:dyDescent="0.25">
      <c r="A678" s="41"/>
      <c r="B678" s="41"/>
      <c r="C678" s="41"/>
      <c r="D678" s="41"/>
      <c r="E678" s="41"/>
      <c r="F678" s="83"/>
      <c r="G678" s="41"/>
      <c r="H678" s="48"/>
      <c r="I678" s="48"/>
      <c r="J678" s="41" t="str">
        <f t="shared" si="30"/>
        <v/>
      </c>
      <c r="K678" s="98" t="str">
        <f t="shared" si="31"/>
        <v/>
      </c>
      <c r="L678" s="40" t="str">
        <f t="shared" si="32"/>
        <v/>
      </c>
    </row>
    <row r="679" spans="1:12" x14ac:dyDescent="0.25">
      <c r="A679" s="41"/>
      <c r="B679" s="41"/>
      <c r="C679" s="41"/>
      <c r="D679" s="41"/>
      <c r="E679" s="41"/>
      <c r="F679" s="83"/>
      <c r="G679" s="41"/>
      <c r="H679" s="48"/>
      <c r="I679" s="48"/>
      <c r="J679" s="41" t="str">
        <f t="shared" si="30"/>
        <v/>
      </c>
      <c r="K679" s="98" t="str">
        <f t="shared" si="31"/>
        <v/>
      </c>
      <c r="L679" s="40" t="str">
        <f t="shared" si="32"/>
        <v/>
      </c>
    </row>
    <row r="680" spans="1:12" x14ac:dyDescent="0.25">
      <c r="A680" s="41"/>
      <c r="B680" s="41"/>
      <c r="C680" s="41"/>
      <c r="D680" s="41"/>
      <c r="E680" s="41"/>
      <c r="F680" s="83"/>
      <c r="G680" s="41"/>
      <c r="H680" s="48"/>
      <c r="I680" s="48"/>
      <c r="J680" s="41" t="str">
        <f t="shared" si="30"/>
        <v/>
      </c>
      <c r="K680" s="98" t="str">
        <f t="shared" si="31"/>
        <v/>
      </c>
      <c r="L680" s="40" t="str">
        <f t="shared" si="32"/>
        <v/>
      </c>
    </row>
    <row r="681" spans="1:12" x14ac:dyDescent="0.25">
      <c r="A681" s="41"/>
      <c r="B681" s="41"/>
      <c r="C681" s="41"/>
      <c r="D681" s="41"/>
      <c r="E681" s="41"/>
      <c r="F681" s="83"/>
      <c r="G681" s="41"/>
      <c r="H681" s="48"/>
      <c r="I681" s="48"/>
      <c r="J681" s="41" t="str">
        <f t="shared" si="30"/>
        <v/>
      </c>
      <c r="K681" s="98" t="str">
        <f t="shared" si="31"/>
        <v/>
      </c>
      <c r="L681" s="40" t="str">
        <f t="shared" si="32"/>
        <v/>
      </c>
    </row>
    <row r="682" spans="1:12" x14ac:dyDescent="0.25">
      <c r="A682" s="41"/>
      <c r="B682" s="41"/>
      <c r="C682" s="41"/>
      <c r="D682" s="41"/>
      <c r="E682" s="41"/>
      <c r="F682" s="83"/>
      <c r="G682" s="41"/>
      <c r="H682" s="48"/>
      <c r="I682" s="48"/>
      <c r="J682" s="41" t="str">
        <f t="shared" si="30"/>
        <v/>
      </c>
      <c r="K682" s="98" t="str">
        <f t="shared" si="31"/>
        <v/>
      </c>
      <c r="L682" s="40" t="str">
        <f t="shared" si="32"/>
        <v/>
      </c>
    </row>
    <row r="683" spans="1:12" x14ac:dyDescent="0.25">
      <c r="A683" s="41"/>
      <c r="B683" s="41"/>
      <c r="C683" s="41"/>
      <c r="D683" s="41"/>
      <c r="E683" s="41"/>
      <c r="F683" s="83"/>
      <c r="G683" s="41"/>
      <c r="H683" s="48"/>
      <c r="I683" s="48"/>
      <c r="J683" s="41" t="str">
        <f t="shared" si="30"/>
        <v/>
      </c>
      <c r="K683" s="98" t="str">
        <f t="shared" si="31"/>
        <v/>
      </c>
      <c r="L683" s="40" t="str">
        <f t="shared" si="32"/>
        <v/>
      </c>
    </row>
    <row r="684" spans="1:12" x14ac:dyDescent="0.25">
      <c r="A684" s="41"/>
      <c r="B684" s="41"/>
      <c r="C684" s="41"/>
      <c r="D684" s="41"/>
      <c r="E684" s="41"/>
      <c r="F684" s="83"/>
      <c r="G684" s="41"/>
      <c r="H684" s="48"/>
      <c r="I684" s="48"/>
      <c r="J684" s="41" t="str">
        <f t="shared" si="30"/>
        <v/>
      </c>
      <c r="K684" s="98" t="str">
        <f t="shared" si="31"/>
        <v/>
      </c>
      <c r="L684" s="40" t="str">
        <f t="shared" si="32"/>
        <v/>
      </c>
    </row>
    <row r="685" spans="1:12" x14ac:dyDescent="0.25">
      <c r="A685" s="41"/>
      <c r="B685" s="41"/>
      <c r="C685" s="41"/>
      <c r="D685" s="41"/>
      <c r="E685" s="41"/>
      <c r="F685" s="83"/>
      <c r="G685" s="41"/>
      <c r="H685" s="48"/>
      <c r="I685" s="48"/>
      <c r="J685" s="41" t="str">
        <f t="shared" si="30"/>
        <v/>
      </c>
      <c r="K685" s="98" t="str">
        <f t="shared" si="31"/>
        <v/>
      </c>
      <c r="L685" s="40" t="str">
        <f t="shared" si="32"/>
        <v/>
      </c>
    </row>
    <row r="686" spans="1:12" x14ac:dyDescent="0.25">
      <c r="A686" s="41"/>
      <c r="B686" s="41"/>
      <c r="C686" s="41"/>
      <c r="D686" s="41"/>
      <c r="E686" s="41"/>
      <c r="F686" s="83"/>
      <c r="G686" s="41"/>
      <c r="H686" s="48"/>
      <c r="I686" s="48"/>
      <c r="J686" s="41" t="str">
        <f t="shared" si="30"/>
        <v/>
      </c>
      <c r="K686" s="98" t="str">
        <f t="shared" si="31"/>
        <v/>
      </c>
      <c r="L686" s="40" t="str">
        <f t="shared" si="32"/>
        <v/>
      </c>
    </row>
    <row r="687" spans="1:12" x14ac:dyDescent="0.25">
      <c r="A687" s="41"/>
      <c r="B687" s="41"/>
      <c r="C687" s="41"/>
      <c r="D687" s="41"/>
      <c r="E687" s="41"/>
      <c r="F687" s="83"/>
      <c r="G687" s="41"/>
      <c r="H687" s="48"/>
      <c r="I687" s="48"/>
      <c r="J687" s="41" t="str">
        <f t="shared" si="30"/>
        <v/>
      </c>
      <c r="K687" s="98" t="str">
        <f t="shared" si="31"/>
        <v/>
      </c>
      <c r="L687" s="40" t="str">
        <f t="shared" si="32"/>
        <v/>
      </c>
    </row>
    <row r="688" spans="1:12" x14ac:dyDescent="0.25">
      <c r="A688" s="41"/>
      <c r="B688" s="41"/>
      <c r="C688" s="41"/>
      <c r="D688" s="41"/>
      <c r="E688" s="41"/>
      <c r="F688" s="83"/>
      <c r="G688" s="41"/>
      <c r="H688" s="48"/>
      <c r="I688" s="48"/>
      <c r="J688" s="41" t="str">
        <f t="shared" si="30"/>
        <v/>
      </c>
      <c r="K688" s="98" t="str">
        <f t="shared" si="31"/>
        <v/>
      </c>
      <c r="L688" s="40" t="str">
        <f t="shared" si="32"/>
        <v/>
      </c>
    </row>
    <row r="689" spans="1:12" x14ac:dyDescent="0.25">
      <c r="A689" s="41"/>
      <c r="B689" s="41"/>
      <c r="C689" s="41"/>
      <c r="D689" s="41"/>
      <c r="E689" s="41"/>
      <c r="F689" s="83"/>
      <c r="G689" s="41"/>
      <c r="H689" s="48"/>
      <c r="I689" s="48"/>
      <c r="J689" s="41" t="str">
        <f t="shared" si="30"/>
        <v/>
      </c>
      <c r="K689" s="98" t="str">
        <f t="shared" si="31"/>
        <v/>
      </c>
      <c r="L689" s="40" t="str">
        <f t="shared" si="32"/>
        <v/>
      </c>
    </row>
    <row r="690" spans="1:12" x14ac:dyDescent="0.25">
      <c r="A690" s="41"/>
      <c r="B690" s="41"/>
      <c r="C690" s="41"/>
      <c r="D690" s="41"/>
      <c r="E690" s="41"/>
      <c r="F690" s="83"/>
      <c r="G690" s="41"/>
      <c r="H690" s="48"/>
      <c r="I690" s="48"/>
      <c r="J690" s="41" t="str">
        <f t="shared" si="30"/>
        <v/>
      </c>
      <c r="K690" s="98" t="str">
        <f t="shared" si="31"/>
        <v/>
      </c>
      <c r="L690" s="40" t="str">
        <f t="shared" si="32"/>
        <v/>
      </c>
    </row>
    <row r="691" spans="1:12" x14ac:dyDescent="0.25">
      <c r="A691" s="41"/>
      <c r="B691" s="41"/>
      <c r="C691" s="41"/>
      <c r="D691" s="41"/>
      <c r="E691" s="41"/>
      <c r="F691" s="83"/>
      <c r="G691" s="41"/>
      <c r="H691" s="48"/>
      <c r="I691" s="48"/>
      <c r="J691" s="41" t="str">
        <f t="shared" si="30"/>
        <v/>
      </c>
      <c r="K691" s="98" t="str">
        <f t="shared" si="31"/>
        <v/>
      </c>
      <c r="L691" s="40" t="str">
        <f t="shared" si="32"/>
        <v/>
      </c>
    </row>
    <row r="692" spans="1:12" x14ac:dyDescent="0.25">
      <c r="A692" s="41"/>
      <c r="B692" s="41"/>
      <c r="C692" s="41"/>
      <c r="D692" s="41"/>
      <c r="E692" s="41"/>
      <c r="F692" s="83"/>
      <c r="G692" s="41"/>
      <c r="H692" s="48"/>
      <c r="I692" s="48"/>
      <c r="J692" s="41" t="str">
        <f t="shared" si="30"/>
        <v/>
      </c>
      <c r="K692" s="98" t="str">
        <f t="shared" si="31"/>
        <v/>
      </c>
      <c r="L692" s="40" t="str">
        <f t="shared" si="32"/>
        <v/>
      </c>
    </row>
    <row r="693" spans="1:12" x14ac:dyDescent="0.25">
      <c r="A693" s="41"/>
      <c r="B693" s="41"/>
      <c r="C693" s="41"/>
      <c r="D693" s="41"/>
      <c r="E693" s="41"/>
      <c r="F693" s="83"/>
      <c r="G693" s="41"/>
      <c r="H693" s="48"/>
      <c r="I693" s="48"/>
      <c r="J693" s="41" t="str">
        <f t="shared" si="30"/>
        <v/>
      </c>
      <c r="K693" s="98" t="str">
        <f t="shared" si="31"/>
        <v/>
      </c>
      <c r="L693" s="40" t="str">
        <f t="shared" si="32"/>
        <v/>
      </c>
    </row>
    <row r="694" spans="1:12" x14ac:dyDescent="0.25">
      <c r="A694" s="41"/>
      <c r="B694" s="41"/>
      <c r="C694" s="41"/>
      <c r="D694" s="41"/>
      <c r="E694" s="41"/>
      <c r="F694" s="83"/>
      <c r="G694" s="41"/>
      <c r="H694" s="48"/>
      <c r="I694" s="48"/>
      <c r="J694" s="41" t="str">
        <f t="shared" si="30"/>
        <v/>
      </c>
      <c r="K694" s="98" t="str">
        <f t="shared" si="31"/>
        <v/>
      </c>
      <c r="L694" s="40" t="str">
        <f t="shared" si="32"/>
        <v/>
      </c>
    </row>
    <row r="695" spans="1:12" x14ac:dyDescent="0.25">
      <c r="A695" s="41"/>
      <c r="B695" s="41"/>
      <c r="C695" s="41"/>
      <c r="D695" s="41"/>
      <c r="E695" s="41"/>
      <c r="F695" s="83"/>
      <c r="G695" s="41"/>
      <c r="H695" s="48"/>
      <c r="I695" s="48"/>
      <c r="J695" s="41" t="str">
        <f t="shared" si="30"/>
        <v/>
      </c>
      <c r="K695" s="98" t="str">
        <f t="shared" si="31"/>
        <v/>
      </c>
      <c r="L695" s="40" t="str">
        <f t="shared" si="32"/>
        <v/>
      </c>
    </row>
    <row r="696" spans="1:12" x14ac:dyDescent="0.25">
      <c r="A696" s="41"/>
      <c r="B696" s="41"/>
      <c r="C696" s="41"/>
      <c r="D696" s="41"/>
      <c r="E696" s="41"/>
      <c r="F696" s="83"/>
      <c r="G696" s="41"/>
      <c r="H696" s="48"/>
      <c r="I696" s="48"/>
      <c r="J696" s="41" t="str">
        <f t="shared" si="30"/>
        <v/>
      </c>
      <c r="K696" s="98" t="str">
        <f t="shared" si="31"/>
        <v/>
      </c>
      <c r="L696" s="40" t="str">
        <f t="shared" si="32"/>
        <v/>
      </c>
    </row>
    <row r="697" spans="1:12" x14ac:dyDescent="0.25">
      <c r="A697" s="41"/>
      <c r="B697" s="41"/>
      <c r="C697" s="41"/>
      <c r="D697" s="41"/>
      <c r="E697" s="41"/>
      <c r="F697" s="83"/>
      <c r="G697" s="41"/>
      <c r="H697" s="48"/>
      <c r="I697" s="48"/>
      <c r="J697" s="41" t="str">
        <f t="shared" si="30"/>
        <v/>
      </c>
      <c r="K697" s="98" t="str">
        <f t="shared" si="31"/>
        <v/>
      </c>
      <c r="L697" s="40" t="str">
        <f t="shared" si="32"/>
        <v/>
      </c>
    </row>
    <row r="698" spans="1:12" x14ac:dyDescent="0.25">
      <c r="A698" s="41"/>
      <c r="B698" s="41"/>
      <c r="C698" s="41"/>
      <c r="D698" s="41"/>
      <c r="E698" s="41"/>
      <c r="F698" s="83"/>
      <c r="G698" s="41"/>
      <c r="H698" s="48"/>
      <c r="I698" s="48"/>
      <c r="J698" s="41" t="str">
        <f t="shared" si="30"/>
        <v/>
      </c>
      <c r="K698" s="98" t="str">
        <f t="shared" si="31"/>
        <v/>
      </c>
      <c r="L698" s="40" t="str">
        <f t="shared" si="32"/>
        <v/>
      </c>
    </row>
    <row r="699" spans="1:12" x14ac:dyDescent="0.25">
      <c r="A699" s="41"/>
      <c r="B699" s="41"/>
      <c r="C699" s="41"/>
      <c r="D699" s="41"/>
      <c r="E699" s="41"/>
      <c r="F699" s="83"/>
      <c r="G699" s="41"/>
      <c r="H699" s="48"/>
      <c r="I699" s="48"/>
      <c r="J699" s="41" t="str">
        <f t="shared" si="30"/>
        <v/>
      </c>
      <c r="K699" s="98" t="str">
        <f t="shared" si="31"/>
        <v/>
      </c>
      <c r="L699" s="40" t="str">
        <f t="shared" si="32"/>
        <v/>
      </c>
    </row>
    <row r="700" spans="1:12" x14ac:dyDescent="0.25">
      <c r="A700" s="41"/>
      <c r="B700" s="41"/>
      <c r="C700" s="41"/>
      <c r="D700" s="41"/>
      <c r="E700" s="41"/>
      <c r="F700" s="83"/>
      <c r="G700" s="41"/>
      <c r="H700" s="48"/>
      <c r="I700" s="48"/>
      <c r="J700" s="41" t="str">
        <f t="shared" si="30"/>
        <v/>
      </c>
      <c r="K700" s="98" t="str">
        <f t="shared" si="31"/>
        <v/>
      </c>
      <c r="L700" s="40" t="str">
        <f t="shared" si="32"/>
        <v/>
      </c>
    </row>
    <row r="701" spans="1:12" x14ac:dyDescent="0.25">
      <c r="A701" s="41"/>
      <c r="B701" s="41"/>
      <c r="C701" s="41"/>
      <c r="D701" s="41"/>
      <c r="E701" s="41"/>
      <c r="F701" s="83"/>
      <c r="G701" s="41"/>
      <c r="H701" s="48"/>
      <c r="I701" s="48"/>
      <c r="J701" s="41" t="str">
        <f t="shared" si="30"/>
        <v/>
      </c>
      <c r="K701" s="98" t="str">
        <f t="shared" si="31"/>
        <v/>
      </c>
      <c r="L701" s="40" t="str">
        <f t="shared" si="32"/>
        <v/>
      </c>
    </row>
    <row r="702" spans="1:12" x14ac:dyDescent="0.25">
      <c r="A702" s="41"/>
      <c r="B702" s="41"/>
      <c r="C702" s="41"/>
      <c r="D702" s="41"/>
      <c r="E702" s="41"/>
      <c r="F702" s="83"/>
      <c r="G702" s="41"/>
      <c r="H702" s="48"/>
      <c r="I702" s="48"/>
      <c r="J702" s="41" t="str">
        <f t="shared" si="30"/>
        <v/>
      </c>
      <c r="K702" s="98" t="str">
        <f t="shared" si="31"/>
        <v/>
      </c>
      <c r="L702" s="40" t="str">
        <f t="shared" si="32"/>
        <v/>
      </c>
    </row>
    <row r="703" spans="1:12" x14ac:dyDescent="0.25">
      <c r="A703" s="41"/>
      <c r="B703" s="41"/>
      <c r="C703" s="41"/>
      <c r="D703" s="41"/>
      <c r="E703" s="41"/>
      <c r="F703" s="83"/>
      <c r="G703" s="41"/>
      <c r="H703" s="48"/>
      <c r="I703" s="48"/>
      <c r="J703" s="41" t="str">
        <f t="shared" si="30"/>
        <v/>
      </c>
      <c r="K703" s="98" t="str">
        <f t="shared" si="31"/>
        <v/>
      </c>
      <c r="L703" s="40" t="str">
        <f t="shared" si="32"/>
        <v/>
      </c>
    </row>
    <row r="704" spans="1:12" x14ac:dyDescent="0.25">
      <c r="A704" s="41"/>
      <c r="B704" s="41"/>
      <c r="C704" s="41"/>
      <c r="D704" s="41"/>
      <c r="E704" s="41"/>
      <c r="F704" s="83"/>
      <c r="G704" s="41"/>
      <c r="H704" s="48"/>
      <c r="I704" s="48"/>
      <c r="J704" s="41" t="str">
        <f t="shared" si="30"/>
        <v/>
      </c>
      <c r="K704" s="98" t="str">
        <f t="shared" si="31"/>
        <v/>
      </c>
      <c r="L704" s="40" t="str">
        <f t="shared" si="32"/>
        <v/>
      </c>
    </row>
    <row r="705" spans="1:12" x14ac:dyDescent="0.25">
      <c r="A705" s="41"/>
      <c r="B705" s="41"/>
      <c r="C705" s="41"/>
      <c r="D705" s="41"/>
      <c r="E705" s="41"/>
      <c r="F705" s="83"/>
      <c r="G705" s="41"/>
      <c r="H705" s="48"/>
      <c r="I705" s="48"/>
      <c r="J705" s="41" t="str">
        <f t="shared" si="30"/>
        <v/>
      </c>
      <c r="K705" s="98" t="str">
        <f t="shared" si="31"/>
        <v/>
      </c>
      <c r="L705" s="40" t="str">
        <f t="shared" si="32"/>
        <v/>
      </c>
    </row>
    <row r="706" spans="1:12" x14ac:dyDescent="0.25">
      <c r="A706" s="41"/>
      <c r="B706" s="41"/>
      <c r="C706" s="41"/>
      <c r="D706" s="41"/>
      <c r="E706" s="41"/>
      <c r="F706" s="83"/>
      <c r="G706" s="41"/>
      <c r="H706" s="48"/>
      <c r="I706" s="48"/>
      <c r="J706" s="41" t="str">
        <f t="shared" si="30"/>
        <v/>
      </c>
      <c r="K706" s="98" t="str">
        <f t="shared" si="31"/>
        <v/>
      </c>
      <c r="L706" s="40" t="str">
        <f t="shared" si="32"/>
        <v/>
      </c>
    </row>
    <row r="707" spans="1:12" x14ac:dyDescent="0.25">
      <c r="A707" s="41"/>
      <c r="B707" s="41"/>
      <c r="C707" s="41"/>
      <c r="D707" s="41"/>
      <c r="E707" s="41"/>
      <c r="F707" s="83"/>
      <c r="G707" s="41"/>
      <c r="H707" s="48"/>
      <c r="I707" s="48"/>
      <c r="J707" s="41" t="str">
        <f t="shared" si="30"/>
        <v/>
      </c>
      <c r="K707" s="98" t="str">
        <f t="shared" si="31"/>
        <v/>
      </c>
      <c r="L707" s="40" t="str">
        <f t="shared" si="32"/>
        <v/>
      </c>
    </row>
    <row r="708" spans="1:12" x14ac:dyDescent="0.25">
      <c r="A708" s="41"/>
      <c r="B708" s="41"/>
      <c r="C708" s="41"/>
      <c r="D708" s="41"/>
      <c r="E708" s="41"/>
      <c r="F708" s="83"/>
      <c r="G708" s="41"/>
      <c r="H708" s="48"/>
      <c r="I708" s="48"/>
      <c r="J708" s="41" t="str">
        <f t="shared" si="30"/>
        <v/>
      </c>
      <c r="K708" s="98" t="str">
        <f t="shared" si="31"/>
        <v/>
      </c>
      <c r="L708" s="40" t="str">
        <f t="shared" si="32"/>
        <v/>
      </c>
    </row>
    <row r="709" spans="1:12" x14ac:dyDescent="0.25">
      <c r="A709" s="41"/>
      <c r="B709" s="41"/>
      <c r="C709" s="41"/>
      <c r="D709" s="41"/>
      <c r="E709" s="41"/>
      <c r="F709" s="83"/>
      <c r="G709" s="41"/>
      <c r="H709" s="48"/>
      <c r="I709" s="48"/>
      <c r="J709" s="41" t="str">
        <f t="shared" si="30"/>
        <v/>
      </c>
      <c r="K709" s="98" t="str">
        <f t="shared" si="31"/>
        <v/>
      </c>
      <c r="L709" s="40" t="str">
        <f t="shared" si="32"/>
        <v/>
      </c>
    </row>
    <row r="710" spans="1:12" x14ac:dyDescent="0.25">
      <c r="A710" s="41"/>
      <c r="B710" s="41"/>
      <c r="C710" s="41"/>
      <c r="D710" s="41"/>
      <c r="E710" s="41"/>
      <c r="F710" s="83"/>
      <c r="G710" s="41"/>
      <c r="H710" s="48"/>
      <c r="I710" s="48"/>
      <c r="J710" s="41" t="str">
        <f t="shared" si="30"/>
        <v/>
      </c>
      <c r="K710" s="98" t="str">
        <f t="shared" si="31"/>
        <v/>
      </c>
      <c r="L710" s="40" t="str">
        <f t="shared" si="32"/>
        <v/>
      </c>
    </row>
    <row r="711" spans="1:12" x14ac:dyDescent="0.25">
      <c r="A711" s="41"/>
      <c r="B711" s="41"/>
      <c r="C711" s="41"/>
      <c r="D711" s="41"/>
      <c r="E711" s="41"/>
      <c r="F711" s="83"/>
      <c r="G711" s="41"/>
      <c r="H711" s="48"/>
      <c r="I711" s="48"/>
      <c r="J711" s="41" t="str">
        <f t="shared" si="30"/>
        <v/>
      </c>
      <c r="K711" s="98" t="str">
        <f t="shared" si="31"/>
        <v/>
      </c>
      <c r="L711" s="40" t="str">
        <f t="shared" si="32"/>
        <v/>
      </c>
    </row>
    <row r="712" spans="1:12" x14ac:dyDescent="0.25">
      <c r="A712" s="41"/>
      <c r="B712" s="41"/>
      <c r="C712" s="41"/>
      <c r="D712" s="41"/>
      <c r="E712" s="41"/>
      <c r="F712" s="83"/>
      <c r="G712" s="41"/>
      <c r="H712" s="48"/>
      <c r="I712" s="48"/>
      <c r="J712" s="41" t="str">
        <f t="shared" si="30"/>
        <v/>
      </c>
      <c r="K712" s="98" t="str">
        <f t="shared" si="31"/>
        <v/>
      </c>
      <c r="L712" s="40" t="str">
        <f t="shared" si="32"/>
        <v/>
      </c>
    </row>
    <row r="713" spans="1:12" x14ac:dyDescent="0.25">
      <c r="A713" s="41"/>
      <c r="B713" s="41"/>
      <c r="C713" s="41"/>
      <c r="D713" s="41"/>
      <c r="E713" s="41"/>
      <c r="F713" s="83"/>
      <c r="G713" s="41"/>
      <c r="H713" s="48"/>
      <c r="I713" s="48"/>
      <c r="J713" s="41" t="str">
        <f t="shared" si="30"/>
        <v/>
      </c>
      <c r="K713" s="98" t="str">
        <f t="shared" si="31"/>
        <v/>
      </c>
      <c r="L713" s="40" t="str">
        <f t="shared" si="32"/>
        <v/>
      </c>
    </row>
    <row r="714" spans="1:12" x14ac:dyDescent="0.25">
      <c r="A714" s="41"/>
      <c r="B714" s="41"/>
      <c r="C714" s="41"/>
      <c r="D714" s="41"/>
      <c r="E714" s="41"/>
      <c r="F714" s="83"/>
      <c r="G714" s="41"/>
      <c r="H714" s="48"/>
      <c r="I714" s="48"/>
      <c r="J714" s="41" t="str">
        <f t="shared" ref="J714:J777" si="33">IFERROR(IF(NOT(ISNUMBER(H714)),"",IF(I714="","ABSENT/NO-SUBMISSION",IF(I714&lt;K714,"No Improvement, Previous marks be assigned.", "Marks Improved"))),"")</f>
        <v/>
      </c>
      <c r="K714" s="98" t="str">
        <f t="shared" ref="K714:K777" si="34">IFERROR(VALUE(MID(F714,6,FIND("%",F714)-6))*H714/100,"")</f>
        <v/>
      </c>
      <c r="L714" s="40" t="str">
        <f t="shared" ref="L714:L777" si="35">IF(AND(G714&lt;&gt;"REPEAT COARSE",A714&lt;&gt;""),"CASE#"&amp; A714&amp;": "&amp;"It is to Inform that you have failed "&amp;E714&amp;" due to "&amp;F714&amp;" percentages. You are required to "&amp;VLOOKUP(G714,$AA$1:$AD$30,2,FALSE) &amp;" " &amp;G714&amp;VLOOKUP(G714,$AA$1:$AD$30,3,FALSE),IF(A714&lt;&gt;"","CASE#"&amp; A714&amp;": "&amp;"It is to Inform that you have failed "&amp;E714&amp;" due to "&amp;F714&amp;" percentages. You are required to  "&amp;G714&amp;" next time if you are interested to imporve this CLO.",""))</f>
        <v/>
      </c>
    </row>
    <row r="715" spans="1:12" x14ac:dyDescent="0.25">
      <c r="A715" s="41"/>
      <c r="B715" s="41"/>
      <c r="C715" s="41"/>
      <c r="D715" s="41"/>
      <c r="E715" s="41"/>
      <c r="F715" s="83"/>
      <c r="G715" s="41"/>
      <c r="H715" s="48"/>
      <c r="I715" s="48"/>
      <c r="J715" s="41" t="str">
        <f t="shared" si="33"/>
        <v/>
      </c>
      <c r="K715" s="98" t="str">
        <f t="shared" si="34"/>
        <v/>
      </c>
      <c r="L715" s="40" t="str">
        <f t="shared" si="35"/>
        <v/>
      </c>
    </row>
    <row r="716" spans="1:12" x14ac:dyDescent="0.25">
      <c r="A716" s="41"/>
      <c r="B716" s="41"/>
      <c r="C716" s="41"/>
      <c r="D716" s="41"/>
      <c r="E716" s="41"/>
      <c r="F716" s="83"/>
      <c r="G716" s="41"/>
      <c r="H716" s="48"/>
      <c r="I716" s="48"/>
      <c r="J716" s="41" t="str">
        <f t="shared" si="33"/>
        <v/>
      </c>
      <c r="K716" s="98" t="str">
        <f t="shared" si="34"/>
        <v/>
      </c>
      <c r="L716" s="40" t="str">
        <f t="shared" si="35"/>
        <v/>
      </c>
    </row>
    <row r="717" spans="1:12" x14ac:dyDescent="0.25">
      <c r="A717" s="41"/>
      <c r="B717" s="41"/>
      <c r="C717" s="41"/>
      <c r="D717" s="41"/>
      <c r="E717" s="41"/>
      <c r="F717" s="83"/>
      <c r="G717" s="41"/>
      <c r="H717" s="48"/>
      <c r="I717" s="48"/>
      <c r="J717" s="41" t="str">
        <f t="shared" si="33"/>
        <v/>
      </c>
      <c r="K717" s="98" t="str">
        <f t="shared" si="34"/>
        <v/>
      </c>
      <c r="L717" s="40" t="str">
        <f t="shared" si="35"/>
        <v/>
      </c>
    </row>
    <row r="718" spans="1:12" x14ac:dyDescent="0.25">
      <c r="A718" s="41"/>
      <c r="B718" s="41"/>
      <c r="C718" s="41"/>
      <c r="D718" s="41"/>
      <c r="E718" s="41"/>
      <c r="F718" s="83"/>
      <c r="G718" s="41"/>
      <c r="H718" s="48"/>
      <c r="I718" s="48"/>
      <c r="J718" s="41" t="str">
        <f t="shared" si="33"/>
        <v/>
      </c>
      <c r="K718" s="98" t="str">
        <f t="shared" si="34"/>
        <v/>
      </c>
      <c r="L718" s="40" t="str">
        <f t="shared" si="35"/>
        <v/>
      </c>
    </row>
    <row r="719" spans="1:12" x14ac:dyDescent="0.25">
      <c r="A719" s="41"/>
      <c r="B719" s="41"/>
      <c r="C719" s="41"/>
      <c r="D719" s="41"/>
      <c r="E719" s="41"/>
      <c r="F719" s="83"/>
      <c r="G719" s="41"/>
      <c r="H719" s="48"/>
      <c r="I719" s="48"/>
      <c r="J719" s="41" t="str">
        <f t="shared" si="33"/>
        <v/>
      </c>
      <c r="K719" s="98" t="str">
        <f t="shared" si="34"/>
        <v/>
      </c>
      <c r="L719" s="40" t="str">
        <f t="shared" si="35"/>
        <v/>
      </c>
    </row>
    <row r="720" spans="1:12" x14ac:dyDescent="0.25">
      <c r="A720" s="41"/>
      <c r="B720" s="41"/>
      <c r="C720" s="41"/>
      <c r="D720" s="41"/>
      <c r="E720" s="41"/>
      <c r="F720" s="83"/>
      <c r="G720" s="41"/>
      <c r="H720" s="48"/>
      <c r="I720" s="48"/>
      <c r="J720" s="41" t="str">
        <f t="shared" si="33"/>
        <v/>
      </c>
      <c r="K720" s="98" t="str">
        <f t="shared" si="34"/>
        <v/>
      </c>
      <c r="L720" s="40" t="str">
        <f t="shared" si="35"/>
        <v/>
      </c>
    </row>
    <row r="721" spans="1:12" x14ac:dyDescent="0.25">
      <c r="A721" s="41"/>
      <c r="B721" s="41"/>
      <c r="C721" s="41"/>
      <c r="D721" s="41"/>
      <c r="E721" s="41"/>
      <c r="F721" s="83"/>
      <c r="G721" s="41"/>
      <c r="H721" s="48"/>
      <c r="I721" s="48"/>
      <c r="J721" s="41" t="str">
        <f t="shared" si="33"/>
        <v/>
      </c>
      <c r="K721" s="98" t="str">
        <f t="shared" si="34"/>
        <v/>
      </c>
      <c r="L721" s="40" t="str">
        <f t="shared" si="35"/>
        <v/>
      </c>
    </row>
    <row r="722" spans="1:12" x14ac:dyDescent="0.25">
      <c r="A722" s="41"/>
      <c r="B722" s="41"/>
      <c r="C722" s="41"/>
      <c r="D722" s="41"/>
      <c r="E722" s="41"/>
      <c r="F722" s="83"/>
      <c r="G722" s="41"/>
      <c r="H722" s="48"/>
      <c r="I722" s="48"/>
      <c r="J722" s="41" t="str">
        <f t="shared" si="33"/>
        <v/>
      </c>
      <c r="K722" s="98" t="str">
        <f t="shared" si="34"/>
        <v/>
      </c>
      <c r="L722" s="40" t="str">
        <f t="shared" si="35"/>
        <v/>
      </c>
    </row>
    <row r="723" spans="1:12" x14ac:dyDescent="0.25">
      <c r="A723" s="41"/>
      <c r="B723" s="41"/>
      <c r="C723" s="41"/>
      <c r="D723" s="41"/>
      <c r="E723" s="41"/>
      <c r="F723" s="83"/>
      <c r="G723" s="41"/>
      <c r="H723" s="48"/>
      <c r="I723" s="48"/>
      <c r="J723" s="41" t="str">
        <f t="shared" si="33"/>
        <v/>
      </c>
      <c r="K723" s="98" t="str">
        <f t="shared" si="34"/>
        <v/>
      </c>
      <c r="L723" s="40" t="str">
        <f t="shared" si="35"/>
        <v/>
      </c>
    </row>
    <row r="724" spans="1:12" x14ac:dyDescent="0.25">
      <c r="A724" s="41"/>
      <c r="B724" s="41"/>
      <c r="C724" s="41"/>
      <c r="D724" s="41"/>
      <c r="E724" s="41"/>
      <c r="F724" s="83"/>
      <c r="G724" s="41"/>
      <c r="H724" s="48"/>
      <c r="I724" s="48"/>
      <c r="J724" s="41" t="str">
        <f t="shared" si="33"/>
        <v/>
      </c>
      <c r="K724" s="98" t="str">
        <f t="shared" si="34"/>
        <v/>
      </c>
      <c r="L724" s="40" t="str">
        <f t="shared" si="35"/>
        <v/>
      </c>
    </row>
    <row r="725" spans="1:12" x14ac:dyDescent="0.25">
      <c r="A725" s="41"/>
      <c r="B725" s="41"/>
      <c r="C725" s="41"/>
      <c r="D725" s="41"/>
      <c r="E725" s="41"/>
      <c r="F725" s="83"/>
      <c r="G725" s="41"/>
      <c r="H725" s="48"/>
      <c r="I725" s="48"/>
      <c r="J725" s="41" t="str">
        <f t="shared" si="33"/>
        <v/>
      </c>
      <c r="K725" s="98" t="str">
        <f t="shared" si="34"/>
        <v/>
      </c>
      <c r="L725" s="40" t="str">
        <f t="shared" si="35"/>
        <v/>
      </c>
    </row>
    <row r="726" spans="1:12" x14ac:dyDescent="0.25">
      <c r="A726" s="41"/>
      <c r="B726" s="41"/>
      <c r="C726" s="41"/>
      <c r="D726" s="41"/>
      <c r="E726" s="41"/>
      <c r="F726" s="83"/>
      <c r="G726" s="41"/>
      <c r="H726" s="48"/>
      <c r="I726" s="48"/>
      <c r="J726" s="41" t="str">
        <f t="shared" si="33"/>
        <v/>
      </c>
      <c r="K726" s="98" t="str">
        <f t="shared" si="34"/>
        <v/>
      </c>
      <c r="L726" s="40" t="str">
        <f t="shared" si="35"/>
        <v/>
      </c>
    </row>
    <row r="727" spans="1:12" x14ac:dyDescent="0.25">
      <c r="A727" s="41"/>
      <c r="B727" s="41"/>
      <c r="C727" s="41"/>
      <c r="D727" s="41"/>
      <c r="E727" s="41"/>
      <c r="F727" s="83"/>
      <c r="G727" s="41"/>
      <c r="H727" s="48"/>
      <c r="I727" s="48"/>
      <c r="J727" s="41" t="str">
        <f t="shared" si="33"/>
        <v/>
      </c>
      <c r="K727" s="98" t="str">
        <f t="shared" si="34"/>
        <v/>
      </c>
      <c r="L727" s="40" t="str">
        <f t="shared" si="35"/>
        <v/>
      </c>
    </row>
    <row r="728" spans="1:12" x14ac:dyDescent="0.25">
      <c r="A728" s="41"/>
      <c r="B728" s="41"/>
      <c r="C728" s="41"/>
      <c r="D728" s="41"/>
      <c r="E728" s="41"/>
      <c r="F728" s="83"/>
      <c r="G728" s="41"/>
      <c r="H728" s="48"/>
      <c r="I728" s="48"/>
      <c r="J728" s="41" t="str">
        <f t="shared" si="33"/>
        <v/>
      </c>
      <c r="K728" s="98" t="str">
        <f t="shared" si="34"/>
        <v/>
      </c>
      <c r="L728" s="40" t="str">
        <f t="shared" si="35"/>
        <v/>
      </c>
    </row>
    <row r="729" spans="1:12" x14ac:dyDescent="0.25">
      <c r="A729" s="41"/>
      <c r="B729" s="41"/>
      <c r="C729" s="41"/>
      <c r="D729" s="41"/>
      <c r="E729" s="41"/>
      <c r="F729" s="83"/>
      <c r="G729" s="41"/>
      <c r="H729" s="48"/>
      <c r="I729" s="48"/>
      <c r="J729" s="41" t="str">
        <f t="shared" si="33"/>
        <v/>
      </c>
      <c r="K729" s="98" t="str">
        <f t="shared" si="34"/>
        <v/>
      </c>
      <c r="L729" s="40" t="str">
        <f t="shared" si="35"/>
        <v/>
      </c>
    </row>
    <row r="730" spans="1:12" x14ac:dyDescent="0.25">
      <c r="A730" s="41"/>
      <c r="B730" s="41"/>
      <c r="C730" s="41"/>
      <c r="D730" s="41"/>
      <c r="E730" s="41"/>
      <c r="F730" s="83"/>
      <c r="G730" s="41"/>
      <c r="H730" s="48"/>
      <c r="I730" s="48"/>
      <c r="J730" s="41" t="str">
        <f t="shared" si="33"/>
        <v/>
      </c>
      <c r="K730" s="98" t="str">
        <f t="shared" si="34"/>
        <v/>
      </c>
      <c r="L730" s="40" t="str">
        <f t="shared" si="35"/>
        <v/>
      </c>
    </row>
    <row r="731" spans="1:12" x14ac:dyDescent="0.25">
      <c r="A731" s="41"/>
      <c r="B731" s="41"/>
      <c r="C731" s="41"/>
      <c r="D731" s="41"/>
      <c r="E731" s="41"/>
      <c r="F731" s="83"/>
      <c r="G731" s="41"/>
      <c r="H731" s="48"/>
      <c r="I731" s="48"/>
      <c r="J731" s="41" t="str">
        <f t="shared" si="33"/>
        <v/>
      </c>
      <c r="K731" s="98" t="str">
        <f t="shared" si="34"/>
        <v/>
      </c>
      <c r="L731" s="40" t="str">
        <f t="shared" si="35"/>
        <v/>
      </c>
    </row>
    <row r="732" spans="1:12" x14ac:dyDescent="0.25">
      <c r="A732" s="41"/>
      <c r="B732" s="41"/>
      <c r="C732" s="41"/>
      <c r="D732" s="41"/>
      <c r="E732" s="41"/>
      <c r="F732" s="83"/>
      <c r="G732" s="41"/>
      <c r="H732" s="48"/>
      <c r="I732" s="48"/>
      <c r="J732" s="41" t="str">
        <f t="shared" si="33"/>
        <v/>
      </c>
      <c r="K732" s="98" t="str">
        <f t="shared" si="34"/>
        <v/>
      </c>
      <c r="L732" s="40" t="str">
        <f t="shared" si="35"/>
        <v/>
      </c>
    </row>
    <row r="733" spans="1:12" x14ac:dyDescent="0.25">
      <c r="A733" s="41"/>
      <c r="B733" s="41"/>
      <c r="C733" s="41"/>
      <c r="D733" s="41"/>
      <c r="E733" s="41"/>
      <c r="F733" s="83"/>
      <c r="G733" s="41"/>
      <c r="H733" s="48"/>
      <c r="I733" s="48"/>
      <c r="J733" s="41" t="str">
        <f t="shared" si="33"/>
        <v/>
      </c>
      <c r="K733" s="98" t="str">
        <f t="shared" si="34"/>
        <v/>
      </c>
      <c r="L733" s="40" t="str">
        <f t="shared" si="35"/>
        <v/>
      </c>
    </row>
    <row r="734" spans="1:12" x14ac:dyDescent="0.25">
      <c r="A734" s="41"/>
      <c r="B734" s="41"/>
      <c r="C734" s="41"/>
      <c r="D734" s="41"/>
      <c r="E734" s="41"/>
      <c r="F734" s="83"/>
      <c r="G734" s="41"/>
      <c r="H734" s="48"/>
      <c r="I734" s="48"/>
      <c r="J734" s="41" t="str">
        <f t="shared" si="33"/>
        <v/>
      </c>
      <c r="K734" s="98" t="str">
        <f t="shared" si="34"/>
        <v/>
      </c>
      <c r="L734" s="40" t="str">
        <f t="shared" si="35"/>
        <v/>
      </c>
    </row>
    <row r="735" spans="1:12" x14ac:dyDescent="0.25">
      <c r="A735" s="41"/>
      <c r="B735" s="41"/>
      <c r="C735" s="41"/>
      <c r="D735" s="41"/>
      <c r="E735" s="41"/>
      <c r="F735" s="83"/>
      <c r="G735" s="41"/>
      <c r="H735" s="48"/>
      <c r="I735" s="48"/>
      <c r="J735" s="41" t="str">
        <f t="shared" si="33"/>
        <v/>
      </c>
      <c r="K735" s="98" t="str">
        <f t="shared" si="34"/>
        <v/>
      </c>
      <c r="L735" s="40" t="str">
        <f t="shared" si="35"/>
        <v/>
      </c>
    </row>
    <row r="736" spans="1:12" x14ac:dyDescent="0.25">
      <c r="A736" s="41"/>
      <c r="B736" s="41"/>
      <c r="C736" s="41"/>
      <c r="D736" s="41"/>
      <c r="E736" s="41"/>
      <c r="F736" s="83"/>
      <c r="G736" s="41"/>
      <c r="H736" s="48"/>
      <c r="I736" s="48"/>
      <c r="J736" s="41" t="str">
        <f t="shared" si="33"/>
        <v/>
      </c>
      <c r="K736" s="98" t="str">
        <f t="shared" si="34"/>
        <v/>
      </c>
      <c r="L736" s="40" t="str">
        <f t="shared" si="35"/>
        <v/>
      </c>
    </row>
    <row r="737" spans="1:12" x14ac:dyDescent="0.25">
      <c r="A737" s="41"/>
      <c r="B737" s="41"/>
      <c r="C737" s="41"/>
      <c r="D737" s="41"/>
      <c r="E737" s="41"/>
      <c r="F737" s="83"/>
      <c r="G737" s="41"/>
      <c r="H737" s="48"/>
      <c r="I737" s="48"/>
      <c r="J737" s="41" t="str">
        <f t="shared" si="33"/>
        <v/>
      </c>
      <c r="K737" s="98" t="str">
        <f t="shared" si="34"/>
        <v/>
      </c>
      <c r="L737" s="40" t="str">
        <f t="shared" si="35"/>
        <v/>
      </c>
    </row>
    <row r="738" spans="1:12" x14ac:dyDescent="0.25">
      <c r="A738" s="41"/>
      <c r="B738" s="41"/>
      <c r="C738" s="41"/>
      <c r="D738" s="41"/>
      <c r="E738" s="41"/>
      <c r="F738" s="83"/>
      <c r="G738" s="41"/>
      <c r="H738" s="48"/>
      <c r="I738" s="48"/>
      <c r="J738" s="41" t="str">
        <f t="shared" si="33"/>
        <v/>
      </c>
      <c r="K738" s="98" t="str">
        <f t="shared" si="34"/>
        <v/>
      </c>
      <c r="L738" s="40" t="str">
        <f t="shared" si="35"/>
        <v/>
      </c>
    </row>
    <row r="739" spans="1:12" x14ac:dyDescent="0.25">
      <c r="A739" s="41"/>
      <c r="B739" s="41"/>
      <c r="C739" s="41"/>
      <c r="D739" s="41"/>
      <c r="E739" s="41"/>
      <c r="F739" s="83"/>
      <c r="G739" s="41"/>
      <c r="H739" s="48"/>
      <c r="I739" s="48"/>
      <c r="J739" s="41" t="str">
        <f t="shared" si="33"/>
        <v/>
      </c>
      <c r="K739" s="98" t="str">
        <f t="shared" si="34"/>
        <v/>
      </c>
      <c r="L739" s="40" t="str">
        <f t="shared" si="35"/>
        <v/>
      </c>
    </row>
    <row r="740" spans="1:12" x14ac:dyDescent="0.25">
      <c r="A740" s="41"/>
      <c r="B740" s="41"/>
      <c r="C740" s="41"/>
      <c r="D740" s="41"/>
      <c r="E740" s="41"/>
      <c r="F740" s="83"/>
      <c r="G740" s="41"/>
      <c r="H740" s="48"/>
      <c r="I740" s="48"/>
      <c r="J740" s="41" t="str">
        <f t="shared" si="33"/>
        <v/>
      </c>
      <c r="K740" s="98" t="str">
        <f t="shared" si="34"/>
        <v/>
      </c>
      <c r="L740" s="40" t="str">
        <f t="shared" si="35"/>
        <v/>
      </c>
    </row>
    <row r="741" spans="1:12" x14ac:dyDescent="0.25">
      <c r="A741" s="41"/>
      <c r="B741" s="41"/>
      <c r="C741" s="41"/>
      <c r="D741" s="41"/>
      <c r="E741" s="41"/>
      <c r="F741" s="83"/>
      <c r="G741" s="41"/>
      <c r="H741" s="48"/>
      <c r="I741" s="48"/>
      <c r="J741" s="41" t="str">
        <f t="shared" si="33"/>
        <v/>
      </c>
      <c r="K741" s="98" t="str">
        <f t="shared" si="34"/>
        <v/>
      </c>
      <c r="L741" s="40" t="str">
        <f t="shared" si="35"/>
        <v/>
      </c>
    </row>
    <row r="742" spans="1:12" x14ac:dyDescent="0.25">
      <c r="A742" s="41"/>
      <c r="B742" s="41"/>
      <c r="C742" s="41"/>
      <c r="D742" s="41"/>
      <c r="E742" s="41"/>
      <c r="F742" s="83"/>
      <c r="G742" s="41"/>
      <c r="H742" s="48"/>
      <c r="I742" s="48"/>
      <c r="J742" s="41" t="str">
        <f t="shared" si="33"/>
        <v/>
      </c>
      <c r="K742" s="98" t="str">
        <f t="shared" si="34"/>
        <v/>
      </c>
      <c r="L742" s="40" t="str">
        <f t="shared" si="35"/>
        <v/>
      </c>
    </row>
    <row r="743" spans="1:12" x14ac:dyDescent="0.25">
      <c r="A743" s="41"/>
      <c r="B743" s="41"/>
      <c r="C743" s="41"/>
      <c r="D743" s="41"/>
      <c r="E743" s="41"/>
      <c r="F743" s="83"/>
      <c r="G743" s="41"/>
      <c r="H743" s="48"/>
      <c r="I743" s="48"/>
      <c r="J743" s="41" t="str">
        <f t="shared" si="33"/>
        <v/>
      </c>
      <c r="K743" s="98" t="str">
        <f t="shared" si="34"/>
        <v/>
      </c>
      <c r="L743" s="40" t="str">
        <f t="shared" si="35"/>
        <v/>
      </c>
    </row>
    <row r="744" spans="1:12" x14ac:dyDescent="0.25">
      <c r="A744" s="41"/>
      <c r="B744" s="41"/>
      <c r="C744" s="41"/>
      <c r="D744" s="41"/>
      <c r="E744" s="41"/>
      <c r="F744" s="83"/>
      <c r="G744" s="41"/>
      <c r="H744" s="48"/>
      <c r="I744" s="48"/>
      <c r="J744" s="41" t="str">
        <f t="shared" si="33"/>
        <v/>
      </c>
      <c r="K744" s="98" t="str">
        <f t="shared" si="34"/>
        <v/>
      </c>
      <c r="L744" s="40" t="str">
        <f t="shared" si="35"/>
        <v/>
      </c>
    </row>
    <row r="745" spans="1:12" x14ac:dyDescent="0.25">
      <c r="A745" s="41"/>
      <c r="B745" s="41"/>
      <c r="C745" s="41"/>
      <c r="D745" s="41"/>
      <c r="E745" s="41"/>
      <c r="F745" s="83"/>
      <c r="G745" s="41"/>
      <c r="H745" s="48"/>
      <c r="I745" s="48"/>
      <c r="J745" s="41" t="str">
        <f t="shared" si="33"/>
        <v/>
      </c>
      <c r="K745" s="98" t="str">
        <f t="shared" si="34"/>
        <v/>
      </c>
      <c r="L745" s="40" t="str">
        <f t="shared" si="35"/>
        <v/>
      </c>
    </row>
    <row r="746" spans="1:12" x14ac:dyDescent="0.25">
      <c r="A746" s="41"/>
      <c r="B746" s="41"/>
      <c r="C746" s="41"/>
      <c r="D746" s="41"/>
      <c r="E746" s="41"/>
      <c r="F746" s="83"/>
      <c r="G746" s="41"/>
      <c r="H746" s="48"/>
      <c r="I746" s="48"/>
      <c r="J746" s="41" t="str">
        <f t="shared" si="33"/>
        <v/>
      </c>
      <c r="K746" s="98" t="str">
        <f t="shared" si="34"/>
        <v/>
      </c>
      <c r="L746" s="40" t="str">
        <f t="shared" si="35"/>
        <v/>
      </c>
    </row>
    <row r="747" spans="1:12" x14ac:dyDescent="0.25">
      <c r="A747" s="41"/>
      <c r="B747" s="41"/>
      <c r="C747" s="41"/>
      <c r="D747" s="41"/>
      <c r="E747" s="41"/>
      <c r="F747" s="83"/>
      <c r="G747" s="41"/>
      <c r="H747" s="48"/>
      <c r="I747" s="48"/>
      <c r="J747" s="41" t="str">
        <f t="shared" si="33"/>
        <v/>
      </c>
      <c r="K747" s="98" t="str">
        <f t="shared" si="34"/>
        <v/>
      </c>
      <c r="L747" s="40" t="str">
        <f t="shared" si="35"/>
        <v/>
      </c>
    </row>
    <row r="748" spans="1:12" x14ac:dyDescent="0.25">
      <c r="A748" s="41"/>
      <c r="B748" s="41"/>
      <c r="C748" s="41"/>
      <c r="D748" s="41"/>
      <c r="E748" s="41"/>
      <c r="F748" s="83"/>
      <c r="G748" s="41"/>
      <c r="H748" s="48"/>
      <c r="I748" s="48"/>
      <c r="J748" s="41" t="str">
        <f t="shared" si="33"/>
        <v/>
      </c>
      <c r="K748" s="98" t="str">
        <f t="shared" si="34"/>
        <v/>
      </c>
      <c r="L748" s="40" t="str">
        <f t="shared" si="35"/>
        <v/>
      </c>
    </row>
    <row r="749" spans="1:12" x14ac:dyDescent="0.25">
      <c r="A749" s="41"/>
      <c r="B749" s="41"/>
      <c r="C749" s="41"/>
      <c r="D749" s="41"/>
      <c r="E749" s="41"/>
      <c r="F749" s="83"/>
      <c r="G749" s="41"/>
      <c r="H749" s="48"/>
      <c r="I749" s="48"/>
      <c r="J749" s="41" t="str">
        <f t="shared" si="33"/>
        <v/>
      </c>
      <c r="K749" s="98" t="str">
        <f t="shared" si="34"/>
        <v/>
      </c>
      <c r="L749" s="40" t="str">
        <f t="shared" si="35"/>
        <v/>
      </c>
    </row>
    <row r="750" spans="1:12" x14ac:dyDescent="0.25">
      <c r="A750" s="41"/>
      <c r="B750" s="41"/>
      <c r="C750" s="41"/>
      <c r="D750" s="41"/>
      <c r="E750" s="41"/>
      <c r="F750" s="83"/>
      <c r="G750" s="41"/>
      <c r="H750" s="48"/>
      <c r="I750" s="48"/>
      <c r="J750" s="41" t="str">
        <f t="shared" si="33"/>
        <v/>
      </c>
      <c r="K750" s="98" t="str">
        <f t="shared" si="34"/>
        <v/>
      </c>
      <c r="L750" s="40" t="str">
        <f t="shared" si="35"/>
        <v/>
      </c>
    </row>
    <row r="751" spans="1:12" x14ac:dyDescent="0.25">
      <c r="A751" s="41"/>
      <c r="B751" s="41"/>
      <c r="C751" s="41"/>
      <c r="D751" s="41"/>
      <c r="E751" s="41"/>
      <c r="F751" s="83"/>
      <c r="G751" s="41"/>
      <c r="H751" s="48"/>
      <c r="I751" s="48"/>
      <c r="J751" s="41" t="str">
        <f t="shared" si="33"/>
        <v/>
      </c>
      <c r="K751" s="98" t="str">
        <f t="shared" si="34"/>
        <v/>
      </c>
      <c r="L751" s="40" t="str">
        <f t="shared" si="35"/>
        <v/>
      </c>
    </row>
    <row r="752" spans="1:12" x14ac:dyDescent="0.25">
      <c r="A752" s="41"/>
      <c r="B752" s="41"/>
      <c r="C752" s="41"/>
      <c r="D752" s="41"/>
      <c r="E752" s="41"/>
      <c r="F752" s="83"/>
      <c r="G752" s="41"/>
      <c r="H752" s="48"/>
      <c r="I752" s="48"/>
      <c r="J752" s="41" t="str">
        <f t="shared" si="33"/>
        <v/>
      </c>
      <c r="K752" s="98" t="str">
        <f t="shared" si="34"/>
        <v/>
      </c>
      <c r="L752" s="40" t="str">
        <f t="shared" si="35"/>
        <v/>
      </c>
    </row>
    <row r="753" spans="1:12" x14ac:dyDescent="0.25">
      <c r="A753" s="41"/>
      <c r="B753" s="41"/>
      <c r="C753" s="41"/>
      <c r="D753" s="41"/>
      <c r="E753" s="41"/>
      <c r="F753" s="83"/>
      <c r="G753" s="41"/>
      <c r="H753" s="48"/>
      <c r="I753" s="48"/>
      <c r="J753" s="41" t="str">
        <f t="shared" si="33"/>
        <v/>
      </c>
      <c r="K753" s="98" t="str">
        <f t="shared" si="34"/>
        <v/>
      </c>
      <c r="L753" s="40" t="str">
        <f t="shared" si="35"/>
        <v/>
      </c>
    </row>
    <row r="754" spans="1:12" x14ac:dyDescent="0.25">
      <c r="A754" s="41"/>
      <c r="B754" s="41"/>
      <c r="C754" s="41"/>
      <c r="D754" s="41"/>
      <c r="E754" s="41"/>
      <c r="F754" s="83"/>
      <c r="G754" s="41"/>
      <c r="H754" s="48"/>
      <c r="I754" s="48"/>
      <c r="J754" s="41" t="str">
        <f t="shared" si="33"/>
        <v/>
      </c>
      <c r="K754" s="98" t="str">
        <f t="shared" si="34"/>
        <v/>
      </c>
      <c r="L754" s="40" t="str">
        <f t="shared" si="35"/>
        <v/>
      </c>
    </row>
    <row r="755" spans="1:12" x14ac:dyDescent="0.25">
      <c r="A755" s="41"/>
      <c r="B755" s="41"/>
      <c r="C755" s="41"/>
      <c r="D755" s="41"/>
      <c r="E755" s="41"/>
      <c r="F755" s="83"/>
      <c r="G755" s="41"/>
      <c r="H755" s="48"/>
      <c r="I755" s="48"/>
      <c r="J755" s="41" t="str">
        <f t="shared" si="33"/>
        <v/>
      </c>
      <c r="K755" s="98" t="str">
        <f t="shared" si="34"/>
        <v/>
      </c>
      <c r="L755" s="40" t="str">
        <f t="shared" si="35"/>
        <v/>
      </c>
    </row>
    <row r="756" spans="1:12" x14ac:dyDescent="0.25">
      <c r="A756" s="41"/>
      <c r="B756" s="41"/>
      <c r="C756" s="41"/>
      <c r="D756" s="41"/>
      <c r="E756" s="41"/>
      <c r="F756" s="83"/>
      <c r="G756" s="41"/>
      <c r="H756" s="48"/>
      <c r="I756" s="48"/>
      <c r="J756" s="41" t="str">
        <f t="shared" si="33"/>
        <v/>
      </c>
      <c r="K756" s="98" t="str">
        <f t="shared" si="34"/>
        <v/>
      </c>
      <c r="L756" s="40" t="str">
        <f t="shared" si="35"/>
        <v/>
      </c>
    </row>
    <row r="757" spans="1:12" x14ac:dyDescent="0.25">
      <c r="A757" s="41"/>
      <c r="B757" s="41"/>
      <c r="C757" s="41"/>
      <c r="D757" s="41"/>
      <c r="E757" s="41"/>
      <c r="F757" s="83"/>
      <c r="G757" s="41"/>
      <c r="H757" s="48"/>
      <c r="I757" s="48"/>
      <c r="J757" s="41" t="str">
        <f t="shared" si="33"/>
        <v/>
      </c>
      <c r="K757" s="98" t="str">
        <f t="shared" si="34"/>
        <v/>
      </c>
      <c r="L757" s="40" t="str">
        <f t="shared" si="35"/>
        <v/>
      </c>
    </row>
    <row r="758" spans="1:12" x14ac:dyDescent="0.25">
      <c r="A758" s="41"/>
      <c r="B758" s="41"/>
      <c r="C758" s="41"/>
      <c r="D758" s="41"/>
      <c r="E758" s="41"/>
      <c r="F758" s="83"/>
      <c r="G758" s="41"/>
      <c r="H758" s="48"/>
      <c r="I758" s="48"/>
      <c r="J758" s="41" t="str">
        <f t="shared" si="33"/>
        <v/>
      </c>
      <c r="K758" s="98" t="str">
        <f t="shared" si="34"/>
        <v/>
      </c>
      <c r="L758" s="40" t="str">
        <f t="shared" si="35"/>
        <v/>
      </c>
    </row>
    <row r="759" spans="1:12" x14ac:dyDescent="0.25">
      <c r="A759" s="41"/>
      <c r="B759" s="41"/>
      <c r="C759" s="41"/>
      <c r="D759" s="41"/>
      <c r="E759" s="41"/>
      <c r="F759" s="83"/>
      <c r="G759" s="41"/>
      <c r="H759" s="48"/>
      <c r="I759" s="48"/>
      <c r="J759" s="41" t="str">
        <f t="shared" si="33"/>
        <v/>
      </c>
      <c r="K759" s="98" t="str">
        <f t="shared" si="34"/>
        <v/>
      </c>
      <c r="L759" s="40" t="str">
        <f t="shared" si="35"/>
        <v/>
      </c>
    </row>
    <row r="760" spans="1:12" x14ac:dyDescent="0.25">
      <c r="A760" s="41"/>
      <c r="B760" s="41"/>
      <c r="C760" s="41"/>
      <c r="D760" s="41"/>
      <c r="E760" s="41"/>
      <c r="F760" s="83"/>
      <c r="G760" s="41"/>
      <c r="H760" s="48"/>
      <c r="I760" s="48"/>
      <c r="J760" s="41" t="str">
        <f t="shared" si="33"/>
        <v/>
      </c>
      <c r="K760" s="98" t="str">
        <f t="shared" si="34"/>
        <v/>
      </c>
      <c r="L760" s="40" t="str">
        <f t="shared" si="35"/>
        <v/>
      </c>
    </row>
    <row r="761" spans="1:12" x14ac:dyDescent="0.25">
      <c r="A761" s="41"/>
      <c r="B761" s="41"/>
      <c r="C761" s="41"/>
      <c r="D761" s="41"/>
      <c r="E761" s="41"/>
      <c r="F761" s="83"/>
      <c r="G761" s="41"/>
      <c r="H761" s="48"/>
      <c r="I761" s="48"/>
      <c r="J761" s="41" t="str">
        <f t="shared" si="33"/>
        <v/>
      </c>
      <c r="K761" s="98" t="str">
        <f t="shared" si="34"/>
        <v/>
      </c>
      <c r="L761" s="40" t="str">
        <f t="shared" si="35"/>
        <v/>
      </c>
    </row>
    <row r="762" spans="1:12" x14ac:dyDescent="0.25">
      <c r="A762" s="41"/>
      <c r="B762" s="41"/>
      <c r="C762" s="41"/>
      <c r="D762" s="41"/>
      <c r="E762" s="41"/>
      <c r="F762" s="83"/>
      <c r="G762" s="41"/>
      <c r="H762" s="48"/>
      <c r="I762" s="48"/>
      <c r="J762" s="41" t="str">
        <f t="shared" si="33"/>
        <v/>
      </c>
      <c r="K762" s="98" t="str">
        <f t="shared" si="34"/>
        <v/>
      </c>
      <c r="L762" s="40" t="str">
        <f t="shared" si="35"/>
        <v/>
      </c>
    </row>
    <row r="763" spans="1:12" x14ac:dyDescent="0.25">
      <c r="A763" s="41"/>
      <c r="B763" s="41"/>
      <c r="C763" s="41"/>
      <c r="D763" s="41"/>
      <c r="E763" s="41"/>
      <c r="F763" s="83"/>
      <c r="G763" s="41"/>
      <c r="H763" s="48"/>
      <c r="I763" s="48"/>
      <c r="J763" s="41" t="str">
        <f t="shared" si="33"/>
        <v/>
      </c>
      <c r="K763" s="98" t="str">
        <f t="shared" si="34"/>
        <v/>
      </c>
      <c r="L763" s="40" t="str">
        <f t="shared" si="35"/>
        <v/>
      </c>
    </row>
    <row r="764" spans="1:12" x14ac:dyDescent="0.25">
      <c r="A764" s="41"/>
      <c r="B764" s="41"/>
      <c r="C764" s="41"/>
      <c r="D764" s="41"/>
      <c r="E764" s="41"/>
      <c r="F764" s="83"/>
      <c r="G764" s="41"/>
      <c r="H764" s="48"/>
      <c r="I764" s="48"/>
      <c r="J764" s="41" t="str">
        <f t="shared" si="33"/>
        <v/>
      </c>
      <c r="K764" s="98" t="str">
        <f t="shared" si="34"/>
        <v/>
      </c>
      <c r="L764" s="40" t="str">
        <f t="shared" si="35"/>
        <v/>
      </c>
    </row>
    <row r="765" spans="1:12" x14ac:dyDescent="0.25">
      <c r="A765" s="41"/>
      <c r="B765" s="41"/>
      <c r="C765" s="41"/>
      <c r="D765" s="41"/>
      <c r="E765" s="41"/>
      <c r="F765" s="83"/>
      <c r="G765" s="41"/>
      <c r="H765" s="48"/>
      <c r="I765" s="48"/>
      <c r="J765" s="41" t="str">
        <f t="shared" si="33"/>
        <v/>
      </c>
      <c r="K765" s="98" t="str">
        <f t="shared" si="34"/>
        <v/>
      </c>
      <c r="L765" s="40" t="str">
        <f t="shared" si="35"/>
        <v/>
      </c>
    </row>
    <row r="766" spans="1:12" x14ac:dyDescent="0.25">
      <c r="A766" s="41"/>
      <c r="B766" s="41"/>
      <c r="C766" s="41"/>
      <c r="D766" s="41"/>
      <c r="E766" s="41"/>
      <c r="F766" s="83"/>
      <c r="G766" s="41"/>
      <c r="H766" s="48"/>
      <c r="I766" s="48"/>
      <c r="J766" s="41" t="str">
        <f t="shared" si="33"/>
        <v/>
      </c>
      <c r="K766" s="98" t="str">
        <f t="shared" si="34"/>
        <v/>
      </c>
      <c r="L766" s="40" t="str">
        <f t="shared" si="35"/>
        <v/>
      </c>
    </row>
    <row r="767" spans="1:12" x14ac:dyDescent="0.25">
      <c r="A767" s="41"/>
      <c r="B767" s="41"/>
      <c r="C767" s="41"/>
      <c r="D767" s="41"/>
      <c r="E767" s="41"/>
      <c r="F767" s="83"/>
      <c r="G767" s="41"/>
      <c r="H767" s="48"/>
      <c r="I767" s="48"/>
      <c r="J767" s="41" t="str">
        <f t="shared" si="33"/>
        <v/>
      </c>
      <c r="K767" s="98" t="str">
        <f t="shared" si="34"/>
        <v/>
      </c>
      <c r="L767" s="40" t="str">
        <f t="shared" si="35"/>
        <v/>
      </c>
    </row>
    <row r="768" spans="1:12" x14ac:dyDescent="0.25">
      <c r="A768" s="41"/>
      <c r="B768" s="41"/>
      <c r="C768" s="41"/>
      <c r="D768" s="41"/>
      <c r="E768" s="41"/>
      <c r="F768" s="83"/>
      <c r="G768" s="41"/>
      <c r="H768" s="48"/>
      <c r="I768" s="48"/>
      <c r="J768" s="41" t="str">
        <f t="shared" si="33"/>
        <v/>
      </c>
      <c r="K768" s="98" t="str">
        <f t="shared" si="34"/>
        <v/>
      </c>
      <c r="L768" s="40" t="str">
        <f t="shared" si="35"/>
        <v/>
      </c>
    </row>
    <row r="769" spans="1:12" x14ac:dyDescent="0.25">
      <c r="A769" s="41"/>
      <c r="B769" s="41"/>
      <c r="C769" s="41"/>
      <c r="D769" s="41"/>
      <c r="E769" s="41"/>
      <c r="F769" s="83"/>
      <c r="G769" s="41"/>
      <c r="H769" s="48"/>
      <c r="I769" s="48"/>
      <c r="J769" s="41" t="str">
        <f t="shared" si="33"/>
        <v/>
      </c>
      <c r="K769" s="98" t="str">
        <f t="shared" si="34"/>
        <v/>
      </c>
      <c r="L769" s="40" t="str">
        <f t="shared" si="35"/>
        <v/>
      </c>
    </row>
    <row r="770" spans="1:12" x14ac:dyDescent="0.25">
      <c r="A770" s="41"/>
      <c r="B770" s="41"/>
      <c r="C770" s="41"/>
      <c r="D770" s="41"/>
      <c r="E770" s="41"/>
      <c r="F770" s="83"/>
      <c r="G770" s="41"/>
      <c r="H770" s="48"/>
      <c r="I770" s="48"/>
      <c r="J770" s="41" t="str">
        <f t="shared" si="33"/>
        <v/>
      </c>
      <c r="K770" s="98" t="str">
        <f t="shared" si="34"/>
        <v/>
      </c>
      <c r="L770" s="40" t="str">
        <f t="shared" si="35"/>
        <v/>
      </c>
    </row>
    <row r="771" spans="1:12" x14ac:dyDescent="0.25">
      <c r="A771" s="41"/>
      <c r="B771" s="41"/>
      <c r="C771" s="41"/>
      <c r="D771" s="41"/>
      <c r="E771" s="41"/>
      <c r="F771" s="83"/>
      <c r="G771" s="41"/>
      <c r="H771" s="48"/>
      <c r="I771" s="48"/>
      <c r="J771" s="41" t="str">
        <f t="shared" si="33"/>
        <v/>
      </c>
      <c r="K771" s="98" t="str">
        <f t="shared" si="34"/>
        <v/>
      </c>
      <c r="L771" s="40" t="str">
        <f t="shared" si="35"/>
        <v/>
      </c>
    </row>
    <row r="772" spans="1:12" x14ac:dyDescent="0.25">
      <c r="A772" s="41"/>
      <c r="B772" s="41"/>
      <c r="C772" s="41"/>
      <c r="D772" s="41"/>
      <c r="E772" s="41"/>
      <c r="F772" s="83"/>
      <c r="G772" s="41"/>
      <c r="H772" s="48"/>
      <c r="I772" s="48"/>
      <c r="J772" s="41" t="str">
        <f t="shared" si="33"/>
        <v/>
      </c>
      <c r="K772" s="98" t="str">
        <f t="shared" si="34"/>
        <v/>
      </c>
      <c r="L772" s="40" t="str">
        <f t="shared" si="35"/>
        <v/>
      </c>
    </row>
    <row r="773" spans="1:12" x14ac:dyDescent="0.25">
      <c r="A773" s="41"/>
      <c r="B773" s="41"/>
      <c r="C773" s="41"/>
      <c r="D773" s="41"/>
      <c r="E773" s="41"/>
      <c r="F773" s="83"/>
      <c r="G773" s="41"/>
      <c r="H773" s="48"/>
      <c r="I773" s="48"/>
      <c r="J773" s="41" t="str">
        <f t="shared" si="33"/>
        <v/>
      </c>
      <c r="K773" s="98" t="str">
        <f t="shared" si="34"/>
        <v/>
      </c>
      <c r="L773" s="40" t="str">
        <f t="shared" si="35"/>
        <v/>
      </c>
    </row>
    <row r="774" spans="1:12" x14ac:dyDescent="0.25">
      <c r="A774" s="41"/>
      <c r="B774" s="41"/>
      <c r="C774" s="41"/>
      <c r="D774" s="41"/>
      <c r="E774" s="41"/>
      <c r="F774" s="83"/>
      <c r="G774" s="41"/>
      <c r="H774" s="48"/>
      <c r="I774" s="48"/>
      <c r="J774" s="41" t="str">
        <f t="shared" si="33"/>
        <v/>
      </c>
      <c r="K774" s="98" t="str">
        <f t="shared" si="34"/>
        <v/>
      </c>
      <c r="L774" s="40" t="str">
        <f t="shared" si="35"/>
        <v/>
      </c>
    </row>
    <row r="775" spans="1:12" x14ac:dyDescent="0.25">
      <c r="A775" s="41"/>
      <c r="B775" s="41"/>
      <c r="C775" s="41"/>
      <c r="D775" s="41"/>
      <c r="E775" s="41"/>
      <c r="F775" s="83"/>
      <c r="G775" s="41"/>
      <c r="H775" s="48"/>
      <c r="I775" s="48"/>
      <c r="J775" s="41" t="str">
        <f t="shared" si="33"/>
        <v/>
      </c>
      <c r="K775" s="98" t="str">
        <f t="shared" si="34"/>
        <v/>
      </c>
      <c r="L775" s="40" t="str">
        <f t="shared" si="35"/>
        <v/>
      </c>
    </row>
    <row r="776" spans="1:12" x14ac:dyDescent="0.25">
      <c r="A776" s="41"/>
      <c r="B776" s="41"/>
      <c r="C776" s="41"/>
      <c r="D776" s="41"/>
      <c r="E776" s="41"/>
      <c r="F776" s="83"/>
      <c r="G776" s="41"/>
      <c r="H776" s="48"/>
      <c r="I776" s="48"/>
      <c r="J776" s="41" t="str">
        <f t="shared" si="33"/>
        <v/>
      </c>
      <c r="K776" s="98" t="str">
        <f t="shared" si="34"/>
        <v/>
      </c>
      <c r="L776" s="40" t="str">
        <f t="shared" si="35"/>
        <v/>
      </c>
    </row>
    <row r="777" spans="1:12" x14ac:dyDescent="0.25">
      <c r="A777" s="41"/>
      <c r="B777" s="41"/>
      <c r="C777" s="41"/>
      <c r="D777" s="41"/>
      <c r="E777" s="41"/>
      <c r="F777" s="83"/>
      <c r="G777" s="41"/>
      <c r="H777" s="48"/>
      <c r="I777" s="48"/>
      <c r="J777" s="41" t="str">
        <f t="shared" si="33"/>
        <v/>
      </c>
      <c r="K777" s="98" t="str">
        <f t="shared" si="34"/>
        <v/>
      </c>
      <c r="L777" s="40" t="str">
        <f t="shared" si="35"/>
        <v/>
      </c>
    </row>
    <row r="778" spans="1:12" x14ac:dyDescent="0.25">
      <c r="A778" s="41"/>
      <c r="B778" s="41"/>
      <c r="C778" s="41"/>
      <c r="D778" s="41"/>
      <c r="E778" s="41"/>
      <c r="F778" s="83"/>
      <c r="G778" s="41"/>
      <c r="H778" s="48"/>
      <c r="I778" s="48"/>
      <c r="J778" s="41" t="str">
        <f t="shared" ref="J778:J841" si="36">IFERROR(IF(NOT(ISNUMBER(H778)),"",IF(I778="","ABSENT/NO-SUBMISSION",IF(I778&lt;K778,"No Improvement, Previous marks be assigned.", "Marks Improved"))),"")</f>
        <v/>
      </c>
      <c r="K778" s="98" t="str">
        <f t="shared" ref="K778:K841" si="37">IFERROR(VALUE(MID(F778,6,FIND("%",F778)-6))*H778/100,"")</f>
        <v/>
      </c>
      <c r="L778" s="40" t="str">
        <f t="shared" ref="L778:L841" si="38">IF(AND(G778&lt;&gt;"REPEAT COARSE",A778&lt;&gt;""),"CASE#"&amp; A778&amp;": "&amp;"It is to Inform that you have failed "&amp;E778&amp;" due to "&amp;F778&amp;" percentages. You are required to "&amp;VLOOKUP(G778,$AA$1:$AD$30,2,FALSE) &amp;" " &amp;G778&amp;VLOOKUP(G778,$AA$1:$AD$30,3,FALSE),IF(A778&lt;&gt;"","CASE#"&amp; A778&amp;": "&amp;"It is to Inform that you have failed "&amp;E778&amp;" due to "&amp;F778&amp;" percentages. You are required to  "&amp;G778&amp;" next time if you are interested to imporve this CLO.",""))</f>
        <v/>
      </c>
    </row>
    <row r="779" spans="1:12" x14ac:dyDescent="0.25">
      <c r="A779" s="41"/>
      <c r="B779" s="41"/>
      <c r="C779" s="41"/>
      <c r="D779" s="41"/>
      <c r="E779" s="41"/>
      <c r="F779" s="83"/>
      <c r="G779" s="41"/>
      <c r="H779" s="48"/>
      <c r="I779" s="48"/>
      <c r="J779" s="41" t="str">
        <f t="shared" si="36"/>
        <v/>
      </c>
      <c r="K779" s="98" t="str">
        <f t="shared" si="37"/>
        <v/>
      </c>
      <c r="L779" s="40" t="str">
        <f t="shared" si="38"/>
        <v/>
      </c>
    </row>
    <row r="780" spans="1:12" x14ac:dyDescent="0.25">
      <c r="A780" s="41"/>
      <c r="B780" s="41"/>
      <c r="C780" s="41"/>
      <c r="D780" s="41"/>
      <c r="E780" s="41"/>
      <c r="F780" s="83"/>
      <c r="G780" s="41"/>
      <c r="H780" s="48"/>
      <c r="I780" s="48"/>
      <c r="J780" s="41" t="str">
        <f t="shared" si="36"/>
        <v/>
      </c>
      <c r="K780" s="98" t="str">
        <f t="shared" si="37"/>
        <v/>
      </c>
      <c r="L780" s="40" t="str">
        <f t="shared" si="38"/>
        <v/>
      </c>
    </row>
    <row r="781" spans="1:12" x14ac:dyDescent="0.25">
      <c r="A781" s="41"/>
      <c r="B781" s="41"/>
      <c r="C781" s="41"/>
      <c r="D781" s="41"/>
      <c r="E781" s="41"/>
      <c r="F781" s="83"/>
      <c r="G781" s="41"/>
      <c r="H781" s="48"/>
      <c r="I781" s="48"/>
      <c r="J781" s="41" t="str">
        <f t="shared" si="36"/>
        <v/>
      </c>
      <c r="K781" s="98" t="str">
        <f t="shared" si="37"/>
        <v/>
      </c>
      <c r="L781" s="40" t="str">
        <f t="shared" si="38"/>
        <v/>
      </c>
    </row>
    <row r="782" spans="1:12" x14ac:dyDescent="0.25">
      <c r="A782" s="41"/>
      <c r="B782" s="41"/>
      <c r="C782" s="41"/>
      <c r="D782" s="41"/>
      <c r="E782" s="41"/>
      <c r="F782" s="83"/>
      <c r="G782" s="41"/>
      <c r="H782" s="48"/>
      <c r="I782" s="48"/>
      <c r="J782" s="41" t="str">
        <f t="shared" si="36"/>
        <v/>
      </c>
      <c r="K782" s="98" t="str">
        <f t="shared" si="37"/>
        <v/>
      </c>
      <c r="L782" s="40" t="str">
        <f t="shared" si="38"/>
        <v/>
      </c>
    </row>
    <row r="783" spans="1:12" x14ac:dyDescent="0.25">
      <c r="A783" s="41"/>
      <c r="B783" s="41"/>
      <c r="C783" s="41"/>
      <c r="D783" s="41"/>
      <c r="E783" s="41"/>
      <c r="F783" s="83"/>
      <c r="G783" s="41"/>
      <c r="H783" s="48"/>
      <c r="I783" s="48"/>
      <c r="J783" s="41" t="str">
        <f t="shared" si="36"/>
        <v/>
      </c>
      <c r="K783" s="98" t="str">
        <f t="shared" si="37"/>
        <v/>
      </c>
      <c r="L783" s="40" t="str">
        <f t="shared" si="38"/>
        <v/>
      </c>
    </row>
    <row r="784" spans="1:12" x14ac:dyDescent="0.25">
      <c r="A784" s="41"/>
      <c r="B784" s="41"/>
      <c r="C784" s="41"/>
      <c r="D784" s="41"/>
      <c r="E784" s="41"/>
      <c r="F784" s="83"/>
      <c r="G784" s="41"/>
      <c r="H784" s="48"/>
      <c r="I784" s="48"/>
      <c r="J784" s="41" t="str">
        <f t="shared" si="36"/>
        <v/>
      </c>
      <c r="K784" s="98" t="str">
        <f t="shared" si="37"/>
        <v/>
      </c>
      <c r="L784" s="40" t="str">
        <f t="shared" si="38"/>
        <v/>
      </c>
    </row>
    <row r="785" spans="1:12" x14ac:dyDescent="0.25">
      <c r="A785" s="41"/>
      <c r="B785" s="41"/>
      <c r="C785" s="41"/>
      <c r="D785" s="41"/>
      <c r="E785" s="41"/>
      <c r="F785" s="83"/>
      <c r="G785" s="41"/>
      <c r="H785" s="48"/>
      <c r="I785" s="48"/>
      <c r="J785" s="41" t="str">
        <f t="shared" si="36"/>
        <v/>
      </c>
      <c r="K785" s="98" t="str">
        <f t="shared" si="37"/>
        <v/>
      </c>
      <c r="L785" s="40" t="str">
        <f t="shared" si="38"/>
        <v/>
      </c>
    </row>
    <row r="786" spans="1:12" x14ac:dyDescent="0.25">
      <c r="A786" s="41"/>
      <c r="B786" s="41"/>
      <c r="C786" s="41"/>
      <c r="D786" s="41"/>
      <c r="E786" s="41"/>
      <c r="F786" s="83"/>
      <c r="G786" s="41"/>
      <c r="H786" s="48"/>
      <c r="I786" s="48"/>
      <c r="J786" s="41" t="str">
        <f t="shared" si="36"/>
        <v/>
      </c>
      <c r="K786" s="98" t="str">
        <f t="shared" si="37"/>
        <v/>
      </c>
      <c r="L786" s="40" t="str">
        <f t="shared" si="38"/>
        <v/>
      </c>
    </row>
    <row r="787" spans="1:12" x14ac:dyDescent="0.25">
      <c r="A787" s="41"/>
      <c r="B787" s="41"/>
      <c r="C787" s="41"/>
      <c r="D787" s="41"/>
      <c r="E787" s="41"/>
      <c r="F787" s="83"/>
      <c r="G787" s="41"/>
      <c r="H787" s="48"/>
      <c r="I787" s="48"/>
      <c r="J787" s="41" t="str">
        <f t="shared" si="36"/>
        <v/>
      </c>
      <c r="K787" s="98" t="str">
        <f t="shared" si="37"/>
        <v/>
      </c>
      <c r="L787" s="40" t="str">
        <f t="shared" si="38"/>
        <v/>
      </c>
    </row>
    <row r="788" spans="1:12" x14ac:dyDescent="0.25">
      <c r="A788" s="41"/>
      <c r="B788" s="41"/>
      <c r="C788" s="41"/>
      <c r="D788" s="41"/>
      <c r="E788" s="41"/>
      <c r="F788" s="83"/>
      <c r="G788" s="41"/>
      <c r="H788" s="48"/>
      <c r="I788" s="48"/>
      <c r="J788" s="41" t="str">
        <f t="shared" si="36"/>
        <v/>
      </c>
      <c r="K788" s="98" t="str">
        <f t="shared" si="37"/>
        <v/>
      </c>
      <c r="L788" s="40" t="str">
        <f t="shared" si="38"/>
        <v/>
      </c>
    </row>
    <row r="789" spans="1:12" x14ac:dyDescent="0.25">
      <c r="A789" s="41"/>
      <c r="B789" s="41"/>
      <c r="C789" s="41"/>
      <c r="D789" s="41"/>
      <c r="E789" s="41"/>
      <c r="F789" s="83"/>
      <c r="G789" s="41"/>
      <c r="H789" s="48"/>
      <c r="I789" s="48"/>
      <c r="J789" s="41" t="str">
        <f t="shared" si="36"/>
        <v/>
      </c>
      <c r="K789" s="98" t="str">
        <f t="shared" si="37"/>
        <v/>
      </c>
      <c r="L789" s="40" t="str">
        <f t="shared" si="38"/>
        <v/>
      </c>
    </row>
    <row r="790" spans="1:12" x14ac:dyDescent="0.25">
      <c r="A790" s="41"/>
      <c r="B790" s="41"/>
      <c r="C790" s="41"/>
      <c r="D790" s="41"/>
      <c r="E790" s="41"/>
      <c r="F790" s="83"/>
      <c r="G790" s="41"/>
      <c r="H790" s="48"/>
      <c r="I790" s="48"/>
      <c r="J790" s="41" t="str">
        <f t="shared" si="36"/>
        <v/>
      </c>
      <c r="K790" s="98" t="str">
        <f t="shared" si="37"/>
        <v/>
      </c>
      <c r="L790" s="40" t="str">
        <f t="shared" si="38"/>
        <v/>
      </c>
    </row>
    <row r="791" spans="1:12" x14ac:dyDescent="0.25">
      <c r="A791" s="41"/>
      <c r="B791" s="41"/>
      <c r="C791" s="41"/>
      <c r="D791" s="41"/>
      <c r="E791" s="41"/>
      <c r="F791" s="83"/>
      <c r="G791" s="41"/>
      <c r="H791" s="48"/>
      <c r="I791" s="48"/>
      <c r="J791" s="41" t="str">
        <f t="shared" si="36"/>
        <v/>
      </c>
      <c r="K791" s="98" t="str">
        <f t="shared" si="37"/>
        <v/>
      </c>
      <c r="L791" s="40" t="str">
        <f t="shared" si="38"/>
        <v/>
      </c>
    </row>
    <row r="792" spans="1:12" x14ac:dyDescent="0.25">
      <c r="A792" s="41"/>
      <c r="B792" s="41"/>
      <c r="C792" s="41"/>
      <c r="D792" s="41"/>
      <c r="E792" s="41"/>
      <c r="F792" s="83"/>
      <c r="G792" s="41"/>
      <c r="H792" s="48"/>
      <c r="I792" s="48"/>
      <c r="J792" s="41" t="str">
        <f t="shared" si="36"/>
        <v/>
      </c>
      <c r="K792" s="98" t="str">
        <f t="shared" si="37"/>
        <v/>
      </c>
      <c r="L792" s="40" t="str">
        <f t="shared" si="38"/>
        <v/>
      </c>
    </row>
    <row r="793" spans="1:12" x14ac:dyDescent="0.25">
      <c r="A793" s="41"/>
      <c r="B793" s="41"/>
      <c r="C793" s="41"/>
      <c r="D793" s="41"/>
      <c r="E793" s="41"/>
      <c r="F793" s="83"/>
      <c r="G793" s="41"/>
      <c r="H793" s="48"/>
      <c r="I793" s="48"/>
      <c r="J793" s="41" t="str">
        <f t="shared" si="36"/>
        <v/>
      </c>
      <c r="K793" s="98" t="str">
        <f t="shared" si="37"/>
        <v/>
      </c>
      <c r="L793" s="40" t="str">
        <f t="shared" si="38"/>
        <v/>
      </c>
    </row>
    <row r="794" spans="1:12" x14ac:dyDescent="0.25">
      <c r="A794" s="41"/>
      <c r="B794" s="41"/>
      <c r="C794" s="41"/>
      <c r="D794" s="41"/>
      <c r="E794" s="41"/>
      <c r="F794" s="83"/>
      <c r="G794" s="41"/>
      <c r="H794" s="48"/>
      <c r="I794" s="48"/>
      <c r="J794" s="41" t="str">
        <f t="shared" si="36"/>
        <v/>
      </c>
      <c r="K794" s="98" t="str">
        <f t="shared" si="37"/>
        <v/>
      </c>
      <c r="L794" s="40" t="str">
        <f t="shared" si="38"/>
        <v/>
      </c>
    </row>
    <row r="795" spans="1:12" x14ac:dyDescent="0.25">
      <c r="A795" s="41"/>
      <c r="B795" s="41"/>
      <c r="C795" s="41"/>
      <c r="D795" s="41"/>
      <c r="E795" s="41"/>
      <c r="F795" s="83"/>
      <c r="G795" s="41"/>
      <c r="H795" s="48"/>
      <c r="I795" s="48"/>
      <c r="J795" s="41" t="str">
        <f t="shared" si="36"/>
        <v/>
      </c>
      <c r="K795" s="98" t="str">
        <f t="shared" si="37"/>
        <v/>
      </c>
      <c r="L795" s="40" t="str">
        <f t="shared" si="38"/>
        <v/>
      </c>
    </row>
    <row r="796" spans="1:12" x14ac:dyDescent="0.25">
      <c r="A796" s="41"/>
      <c r="B796" s="41"/>
      <c r="C796" s="41"/>
      <c r="D796" s="41"/>
      <c r="E796" s="41"/>
      <c r="F796" s="83"/>
      <c r="G796" s="41"/>
      <c r="H796" s="48"/>
      <c r="I796" s="48"/>
      <c r="J796" s="41" t="str">
        <f t="shared" si="36"/>
        <v/>
      </c>
      <c r="K796" s="98" t="str">
        <f t="shared" si="37"/>
        <v/>
      </c>
      <c r="L796" s="40" t="str">
        <f t="shared" si="38"/>
        <v/>
      </c>
    </row>
    <row r="797" spans="1:12" x14ac:dyDescent="0.25">
      <c r="A797" s="41"/>
      <c r="B797" s="41"/>
      <c r="C797" s="41"/>
      <c r="D797" s="41"/>
      <c r="E797" s="41"/>
      <c r="F797" s="83"/>
      <c r="G797" s="41"/>
      <c r="H797" s="48"/>
      <c r="I797" s="48"/>
      <c r="J797" s="41" t="str">
        <f t="shared" si="36"/>
        <v/>
      </c>
      <c r="K797" s="98" t="str">
        <f t="shared" si="37"/>
        <v/>
      </c>
      <c r="L797" s="40" t="str">
        <f t="shared" si="38"/>
        <v/>
      </c>
    </row>
    <row r="798" spans="1:12" x14ac:dyDescent="0.25">
      <c r="A798" s="41"/>
      <c r="B798" s="41"/>
      <c r="C798" s="41"/>
      <c r="D798" s="41"/>
      <c r="E798" s="41"/>
      <c r="F798" s="83"/>
      <c r="G798" s="41"/>
      <c r="H798" s="48"/>
      <c r="I798" s="48"/>
      <c r="J798" s="41" t="str">
        <f t="shared" si="36"/>
        <v/>
      </c>
      <c r="K798" s="98" t="str">
        <f t="shared" si="37"/>
        <v/>
      </c>
      <c r="L798" s="40" t="str">
        <f t="shared" si="38"/>
        <v/>
      </c>
    </row>
    <row r="799" spans="1:12" x14ac:dyDescent="0.25">
      <c r="A799" s="41"/>
      <c r="B799" s="41"/>
      <c r="C799" s="41"/>
      <c r="D799" s="41"/>
      <c r="E799" s="41"/>
      <c r="F799" s="83"/>
      <c r="G799" s="41"/>
      <c r="H799" s="48"/>
      <c r="I799" s="48"/>
      <c r="J799" s="41" t="str">
        <f t="shared" si="36"/>
        <v/>
      </c>
      <c r="K799" s="98" t="str">
        <f t="shared" si="37"/>
        <v/>
      </c>
      <c r="L799" s="40" t="str">
        <f t="shared" si="38"/>
        <v/>
      </c>
    </row>
    <row r="800" spans="1:12" x14ac:dyDescent="0.25">
      <c r="A800" s="41"/>
      <c r="B800" s="41"/>
      <c r="C800" s="41"/>
      <c r="D800" s="41"/>
      <c r="E800" s="41"/>
      <c r="F800" s="83"/>
      <c r="G800" s="41"/>
      <c r="H800" s="48"/>
      <c r="I800" s="48"/>
      <c r="J800" s="41" t="str">
        <f t="shared" si="36"/>
        <v/>
      </c>
      <c r="K800" s="98" t="str">
        <f t="shared" si="37"/>
        <v/>
      </c>
      <c r="L800" s="40" t="str">
        <f t="shared" si="38"/>
        <v/>
      </c>
    </row>
    <row r="801" spans="1:12" x14ac:dyDescent="0.25">
      <c r="A801" s="41"/>
      <c r="B801" s="41"/>
      <c r="C801" s="41"/>
      <c r="D801" s="41"/>
      <c r="E801" s="41"/>
      <c r="F801" s="83"/>
      <c r="G801" s="41"/>
      <c r="H801" s="48"/>
      <c r="I801" s="48"/>
      <c r="J801" s="41" t="str">
        <f t="shared" si="36"/>
        <v/>
      </c>
      <c r="K801" s="98" t="str">
        <f t="shared" si="37"/>
        <v/>
      </c>
      <c r="L801" s="40" t="str">
        <f t="shared" si="38"/>
        <v/>
      </c>
    </row>
    <row r="802" spans="1:12" x14ac:dyDescent="0.25">
      <c r="A802" s="41"/>
      <c r="B802" s="41"/>
      <c r="C802" s="41"/>
      <c r="D802" s="41"/>
      <c r="E802" s="41"/>
      <c r="F802" s="83"/>
      <c r="G802" s="41"/>
      <c r="H802" s="48"/>
      <c r="I802" s="48"/>
      <c r="J802" s="41" t="str">
        <f t="shared" si="36"/>
        <v/>
      </c>
      <c r="K802" s="98" t="str">
        <f t="shared" si="37"/>
        <v/>
      </c>
      <c r="L802" s="40" t="str">
        <f t="shared" si="38"/>
        <v/>
      </c>
    </row>
    <row r="803" spans="1:12" x14ac:dyDescent="0.25">
      <c r="A803" s="41"/>
      <c r="B803" s="41"/>
      <c r="C803" s="41"/>
      <c r="D803" s="41"/>
      <c r="E803" s="41"/>
      <c r="F803" s="83"/>
      <c r="G803" s="41"/>
      <c r="H803" s="48"/>
      <c r="I803" s="48"/>
      <c r="J803" s="41" t="str">
        <f t="shared" si="36"/>
        <v/>
      </c>
      <c r="K803" s="98" t="str">
        <f t="shared" si="37"/>
        <v/>
      </c>
      <c r="L803" s="40" t="str">
        <f t="shared" si="38"/>
        <v/>
      </c>
    </row>
    <row r="804" spans="1:12" x14ac:dyDescent="0.25">
      <c r="A804" s="41"/>
      <c r="B804" s="41"/>
      <c r="C804" s="41"/>
      <c r="D804" s="41"/>
      <c r="E804" s="41"/>
      <c r="F804" s="83"/>
      <c r="G804" s="41"/>
      <c r="H804" s="48"/>
      <c r="I804" s="48"/>
      <c r="J804" s="41" t="str">
        <f t="shared" si="36"/>
        <v/>
      </c>
      <c r="K804" s="98" t="str">
        <f t="shared" si="37"/>
        <v/>
      </c>
      <c r="L804" s="40" t="str">
        <f t="shared" si="38"/>
        <v/>
      </c>
    </row>
    <row r="805" spans="1:12" x14ac:dyDescent="0.25">
      <c r="A805" s="41"/>
      <c r="B805" s="41"/>
      <c r="C805" s="41"/>
      <c r="D805" s="41"/>
      <c r="E805" s="41"/>
      <c r="F805" s="83"/>
      <c r="G805" s="41"/>
      <c r="H805" s="48"/>
      <c r="I805" s="48"/>
      <c r="J805" s="41" t="str">
        <f t="shared" si="36"/>
        <v/>
      </c>
      <c r="K805" s="98" t="str">
        <f t="shared" si="37"/>
        <v/>
      </c>
      <c r="L805" s="40" t="str">
        <f t="shared" si="38"/>
        <v/>
      </c>
    </row>
    <row r="806" spans="1:12" x14ac:dyDescent="0.25">
      <c r="A806" s="41"/>
      <c r="B806" s="41"/>
      <c r="C806" s="41"/>
      <c r="D806" s="41"/>
      <c r="E806" s="41"/>
      <c r="F806" s="83"/>
      <c r="G806" s="41"/>
      <c r="H806" s="48"/>
      <c r="I806" s="48"/>
      <c r="J806" s="41" t="str">
        <f t="shared" si="36"/>
        <v/>
      </c>
      <c r="K806" s="98" t="str">
        <f t="shared" si="37"/>
        <v/>
      </c>
      <c r="L806" s="40" t="str">
        <f t="shared" si="38"/>
        <v/>
      </c>
    </row>
    <row r="807" spans="1:12" x14ac:dyDescent="0.25">
      <c r="A807" s="41"/>
      <c r="B807" s="41"/>
      <c r="C807" s="41"/>
      <c r="D807" s="41"/>
      <c r="E807" s="41"/>
      <c r="F807" s="83"/>
      <c r="G807" s="41"/>
      <c r="H807" s="48"/>
      <c r="I807" s="48"/>
      <c r="J807" s="41" t="str">
        <f t="shared" si="36"/>
        <v/>
      </c>
      <c r="K807" s="98" t="str">
        <f t="shared" si="37"/>
        <v/>
      </c>
      <c r="L807" s="40" t="str">
        <f t="shared" si="38"/>
        <v/>
      </c>
    </row>
    <row r="808" spans="1:12" x14ac:dyDescent="0.25">
      <c r="A808" s="41"/>
      <c r="B808" s="41"/>
      <c r="C808" s="41"/>
      <c r="D808" s="41"/>
      <c r="E808" s="41"/>
      <c r="F808" s="83"/>
      <c r="G808" s="41"/>
      <c r="H808" s="48"/>
      <c r="I808" s="48"/>
      <c r="J808" s="41" t="str">
        <f t="shared" si="36"/>
        <v/>
      </c>
      <c r="K808" s="98" t="str">
        <f t="shared" si="37"/>
        <v/>
      </c>
      <c r="L808" s="40" t="str">
        <f t="shared" si="38"/>
        <v/>
      </c>
    </row>
    <row r="809" spans="1:12" x14ac:dyDescent="0.25">
      <c r="A809" s="41"/>
      <c r="B809" s="41"/>
      <c r="C809" s="41"/>
      <c r="D809" s="41"/>
      <c r="E809" s="41"/>
      <c r="F809" s="83"/>
      <c r="G809" s="41"/>
      <c r="H809" s="48"/>
      <c r="I809" s="48"/>
      <c r="J809" s="41" t="str">
        <f t="shared" si="36"/>
        <v/>
      </c>
      <c r="K809" s="98" t="str">
        <f t="shared" si="37"/>
        <v/>
      </c>
      <c r="L809" s="40" t="str">
        <f t="shared" si="38"/>
        <v/>
      </c>
    </row>
    <row r="810" spans="1:12" x14ac:dyDescent="0.25">
      <c r="A810" s="41"/>
      <c r="B810" s="41"/>
      <c r="C810" s="41"/>
      <c r="D810" s="41"/>
      <c r="E810" s="41"/>
      <c r="F810" s="83"/>
      <c r="G810" s="41"/>
      <c r="H810" s="48"/>
      <c r="I810" s="48"/>
      <c r="J810" s="41" t="str">
        <f t="shared" si="36"/>
        <v/>
      </c>
      <c r="K810" s="98" t="str">
        <f t="shared" si="37"/>
        <v/>
      </c>
      <c r="L810" s="40" t="str">
        <f t="shared" si="38"/>
        <v/>
      </c>
    </row>
    <row r="811" spans="1:12" x14ac:dyDescent="0.25">
      <c r="A811" s="41"/>
      <c r="B811" s="41"/>
      <c r="C811" s="41"/>
      <c r="D811" s="41"/>
      <c r="E811" s="41"/>
      <c r="F811" s="83"/>
      <c r="G811" s="41"/>
      <c r="H811" s="48"/>
      <c r="I811" s="48"/>
      <c r="J811" s="41" t="str">
        <f t="shared" si="36"/>
        <v/>
      </c>
      <c r="K811" s="98" t="str">
        <f t="shared" si="37"/>
        <v/>
      </c>
      <c r="L811" s="40" t="str">
        <f t="shared" si="38"/>
        <v/>
      </c>
    </row>
    <row r="812" spans="1:12" x14ac:dyDescent="0.25">
      <c r="A812" s="41"/>
      <c r="B812" s="41"/>
      <c r="C812" s="41"/>
      <c r="D812" s="41"/>
      <c r="E812" s="41"/>
      <c r="F812" s="83"/>
      <c r="G812" s="41"/>
      <c r="H812" s="48"/>
      <c r="I812" s="48"/>
      <c r="J812" s="41" t="str">
        <f t="shared" si="36"/>
        <v/>
      </c>
      <c r="K812" s="98" t="str">
        <f t="shared" si="37"/>
        <v/>
      </c>
      <c r="L812" s="40" t="str">
        <f t="shared" si="38"/>
        <v/>
      </c>
    </row>
    <row r="813" spans="1:12" x14ac:dyDescent="0.25">
      <c r="A813" s="41"/>
      <c r="B813" s="41"/>
      <c r="C813" s="41"/>
      <c r="D813" s="41"/>
      <c r="E813" s="41"/>
      <c r="F813" s="83"/>
      <c r="G813" s="41"/>
      <c r="H813" s="48"/>
      <c r="I813" s="48"/>
      <c r="J813" s="41" t="str">
        <f t="shared" si="36"/>
        <v/>
      </c>
      <c r="K813" s="98" t="str">
        <f t="shared" si="37"/>
        <v/>
      </c>
      <c r="L813" s="40" t="str">
        <f t="shared" si="38"/>
        <v/>
      </c>
    </row>
    <row r="814" spans="1:12" x14ac:dyDescent="0.25">
      <c r="A814" s="41"/>
      <c r="B814" s="41"/>
      <c r="C814" s="41"/>
      <c r="D814" s="41"/>
      <c r="E814" s="41"/>
      <c r="F814" s="83"/>
      <c r="G814" s="41"/>
      <c r="H814" s="48"/>
      <c r="I814" s="48"/>
      <c r="J814" s="41" t="str">
        <f t="shared" si="36"/>
        <v/>
      </c>
      <c r="K814" s="98" t="str">
        <f t="shared" si="37"/>
        <v/>
      </c>
      <c r="L814" s="40" t="str">
        <f t="shared" si="38"/>
        <v/>
      </c>
    </row>
    <row r="815" spans="1:12" x14ac:dyDescent="0.25">
      <c r="A815" s="41"/>
      <c r="B815" s="41"/>
      <c r="C815" s="41"/>
      <c r="D815" s="41"/>
      <c r="E815" s="41"/>
      <c r="F815" s="83"/>
      <c r="G815" s="41"/>
      <c r="H815" s="48"/>
      <c r="I815" s="48"/>
      <c r="J815" s="41" t="str">
        <f t="shared" si="36"/>
        <v/>
      </c>
      <c r="K815" s="98" t="str">
        <f t="shared" si="37"/>
        <v/>
      </c>
      <c r="L815" s="40" t="str">
        <f t="shared" si="38"/>
        <v/>
      </c>
    </row>
    <row r="816" spans="1:12" x14ac:dyDescent="0.25">
      <c r="A816" s="41"/>
      <c r="B816" s="41"/>
      <c r="C816" s="41"/>
      <c r="D816" s="41"/>
      <c r="E816" s="41"/>
      <c r="F816" s="83"/>
      <c r="G816" s="41"/>
      <c r="H816" s="48"/>
      <c r="I816" s="48"/>
      <c r="J816" s="41" t="str">
        <f t="shared" si="36"/>
        <v/>
      </c>
      <c r="K816" s="98" t="str">
        <f t="shared" si="37"/>
        <v/>
      </c>
      <c r="L816" s="40" t="str">
        <f t="shared" si="38"/>
        <v/>
      </c>
    </row>
    <row r="817" spans="1:12" x14ac:dyDescent="0.25">
      <c r="A817" s="41"/>
      <c r="B817" s="41"/>
      <c r="C817" s="41"/>
      <c r="D817" s="41"/>
      <c r="E817" s="41"/>
      <c r="F817" s="83"/>
      <c r="G817" s="41"/>
      <c r="H817" s="48"/>
      <c r="I817" s="48"/>
      <c r="J817" s="41" t="str">
        <f t="shared" si="36"/>
        <v/>
      </c>
      <c r="K817" s="98" t="str">
        <f t="shared" si="37"/>
        <v/>
      </c>
      <c r="L817" s="40" t="str">
        <f t="shared" si="38"/>
        <v/>
      </c>
    </row>
    <row r="818" spans="1:12" x14ac:dyDescent="0.25">
      <c r="A818" s="41"/>
      <c r="B818" s="41"/>
      <c r="C818" s="41"/>
      <c r="D818" s="41"/>
      <c r="E818" s="41"/>
      <c r="F818" s="83"/>
      <c r="G818" s="41"/>
      <c r="H818" s="48"/>
      <c r="I818" s="48"/>
      <c r="J818" s="41" t="str">
        <f t="shared" si="36"/>
        <v/>
      </c>
      <c r="K818" s="98" t="str">
        <f t="shared" si="37"/>
        <v/>
      </c>
      <c r="L818" s="40" t="str">
        <f t="shared" si="38"/>
        <v/>
      </c>
    </row>
    <row r="819" spans="1:12" x14ac:dyDescent="0.25">
      <c r="A819" s="41"/>
      <c r="B819" s="41"/>
      <c r="C819" s="41"/>
      <c r="D819" s="41"/>
      <c r="E819" s="41"/>
      <c r="F819" s="83"/>
      <c r="G819" s="41"/>
      <c r="H819" s="48"/>
      <c r="I819" s="48"/>
      <c r="J819" s="41" t="str">
        <f t="shared" si="36"/>
        <v/>
      </c>
      <c r="K819" s="98" t="str">
        <f t="shared" si="37"/>
        <v/>
      </c>
      <c r="L819" s="40" t="str">
        <f t="shared" si="38"/>
        <v/>
      </c>
    </row>
    <row r="820" spans="1:12" x14ac:dyDescent="0.25">
      <c r="A820" s="41"/>
      <c r="B820" s="41"/>
      <c r="C820" s="41"/>
      <c r="D820" s="41"/>
      <c r="E820" s="41"/>
      <c r="F820" s="83"/>
      <c r="G820" s="41"/>
      <c r="H820" s="48"/>
      <c r="I820" s="48"/>
      <c r="J820" s="41" t="str">
        <f t="shared" si="36"/>
        <v/>
      </c>
      <c r="K820" s="98" t="str">
        <f t="shared" si="37"/>
        <v/>
      </c>
      <c r="L820" s="40" t="str">
        <f t="shared" si="38"/>
        <v/>
      </c>
    </row>
    <row r="821" spans="1:12" x14ac:dyDescent="0.25">
      <c r="A821" s="41"/>
      <c r="B821" s="41"/>
      <c r="C821" s="41"/>
      <c r="D821" s="41"/>
      <c r="E821" s="41"/>
      <c r="F821" s="83"/>
      <c r="G821" s="41"/>
      <c r="H821" s="48"/>
      <c r="I821" s="48"/>
      <c r="J821" s="41" t="str">
        <f t="shared" si="36"/>
        <v/>
      </c>
      <c r="K821" s="98" t="str">
        <f t="shared" si="37"/>
        <v/>
      </c>
      <c r="L821" s="40" t="str">
        <f t="shared" si="38"/>
        <v/>
      </c>
    </row>
    <row r="822" spans="1:12" x14ac:dyDescent="0.25">
      <c r="A822" s="41"/>
      <c r="B822" s="41"/>
      <c r="C822" s="41"/>
      <c r="D822" s="41"/>
      <c r="E822" s="41"/>
      <c r="F822" s="83"/>
      <c r="G822" s="41"/>
      <c r="H822" s="48"/>
      <c r="I822" s="48"/>
      <c r="J822" s="41" t="str">
        <f t="shared" si="36"/>
        <v/>
      </c>
      <c r="K822" s="98" t="str">
        <f t="shared" si="37"/>
        <v/>
      </c>
      <c r="L822" s="40" t="str">
        <f t="shared" si="38"/>
        <v/>
      </c>
    </row>
    <row r="823" spans="1:12" x14ac:dyDescent="0.25">
      <c r="A823" s="41"/>
      <c r="B823" s="41"/>
      <c r="C823" s="41"/>
      <c r="D823" s="41"/>
      <c r="E823" s="41"/>
      <c r="F823" s="83"/>
      <c r="G823" s="41"/>
      <c r="H823" s="48"/>
      <c r="I823" s="48"/>
      <c r="J823" s="41" t="str">
        <f t="shared" si="36"/>
        <v/>
      </c>
      <c r="K823" s="98" t="str">
        <f t="shared" si="37"/>
        <v/>
      </c>
      <c r="L823" s="40" t="str">
        <f t="shared" si="38"/>
        <v/>
      </c>
    </row>
    <row r="824" spans="1:12" x14ac:dyDescent="0.25">
      <c r="A824" s="41"/>
      <c r="B824" s="41"/>
      <c r="C824" s="41"/>
      <c r="D824" s="41"/>
      <c r="E824" s="41"/>
      <c r="F824" s="83"/>
      <c r="G824" s="41"/>
      <c r="H824" s="48"/>
      <c r="I824" s="48"/>
      <c r="J824" s="41" t="str">
        <f t="shared" si="36"/>
        <v/>
      </c>
      <c r="K824" s="98" t="str">
        <f t="shared" si="37"/>
        <v/>
      </c>
      <c r="L824" s="40" t="str">
        <f t="shared" si="38"/>
        <v/>
      </c>
    </row>
    <row r="825" spans="1:12" x14ac:dyDescent="0.25">
      <c r="A825" s="41"/>
      <c r="B825" s="41"/>
      <c r="C825" s="41"/>
      <c r="D825" s="41"/>
      <c r="E825" s="41"/>
      <c r="F825" s="83"/>
      <c r="G825" s="41"/>
      <c r="H825" s="48"/>
      <c r="I825" s="48"/>
      <c r="J825" s="41" t="str">
        <f t="shared" si="36"/>
        <v/>
      </c>
      <c r="K825" s="98" t="str">
        <f t="shared" si="37"/>
        <v/>
      </c>
      <c r="L825" s="40" t="str">
        <f t="shared" si="38"/>
        <v/>
      </c>
    </row>
    <row r="826" spans="1:12" x14ac:dyDescent="0.25">
      <c r="A826" s="41"/>
      <c r="B826" s="41"/>
      <c r="C826" s="41"/>
      <c r="D826" s="41"/>
      <c r="E826" s="41"/>
      <c r="F826" s="83"/>
      <c r="G826" s="41"/>
      <c r="H826" s="48"/>
      <c r="I826" s="48"/>
      <c r="J826" s="41" t="str">
        <f t="shared" si="36"/>
        <v/>
      </c>
      <c r="K826" s="98" t="str">
        <f t="shared" si="37"/>
        <v/>
      </c>
      <c r="L826" s="40" t="str">
        <f t="shared" si="38"/>
        <v/>
      </c>
    </row>
    <row r="827" spans="1:12" x14ac:dyDescent="0.25">
      <c r="A827" s="41"/>
      <c r="B827" s="41"/>
      <c r="C827" s="41"/>
      <c r="D827" s="41"/>
      <c r="E827" s="41"/>
      <c r="F827" s="83"/>
      <c r="G827" s="41"/>
      <c r="H827" s="48"/>
      <c r="I827" s="48"/>
      <c r="J827" s="41" t="str">
        <f t="shared" si="36"/>
        <v/>
      </c>
      <c r="K827" s="98" t="str">
        <f t="shared" si="37"/>
        <v/>
      </c>
      <c r="L827" s="40" t="str">
        <f t="shared" si="38"/>
        <v/>
      </c>
    </row>
    <row r="828" spans="1:12" x14ac:dyDescent="0.25">
      <c r="A828" s="41"/>
      <c r="B828" s="41"/>
      <c r="C828" s="41"/>
      <c r="D828" s="41"/>
      <c r="E828" s="41"/>
      <c r="F828" s="83"/>
      <c r="G828" s="41"/>
      <c r="H828" s="48"/>
      <c r="I828" s="48"/>
      <c r="J828" s="41" t="str">
        <f t="shared" si="36"/>
        <v/>
      </c>
      <c r="K828" s="98" t="str">
        <f t="shared" si="37"/>
        <v/>
      </c>
      <c r="L828" s="40" t="str">
        <f t="shared" si="38"/>
        <v/>
      </c>
    </row>
    <row r="829" spans="1:12" x14ac:dyDescent="0.25">
      <c r="A829" s="41"/>
      <c r="B829" s="41"/>
      <c r="C829" s="41"/>
      <c r="D829" s="41"/>
      <c r="E829" s="41"/>
      <c r="F829" s="83"/>
      <c r="G829" s="41"/>
      <c r="H829" s="48"/>
      <c r="I829" s="48"/>
      <c r="J829" s="41" t="str">
        <f t="shared" si="36"/>
        <v/>
      </c>
      <c r="K829" s="98" t="str">
        <f t="shared" si="37"/>
        <v/>
      </c>
      <c r="L829" s="40" t="str">
        <f t="shared" si="38"/>
        <v/>
      </c>
    </row>
    <row r="830" spans="1:12" x14ac:dyDescent="0.25">
      <c r="A830" s="41"/>
      <c r="B830" s="41"/>
      <c r="C830" s="41"/>
      <c r="D830" s="41"/>
      <c r="E830" s="41"/>
      <c r="F830" s="83"/>
      <c r="G830" s="41"/>
      <c r="H830" s="48"/>
      <c r="I830" s="48"/>
      <c r="J830" s="41" t="str">
        <f t="shared" si="36"/>
        <v/>
      </c>
      <c r="K830" s="98" t="str">
        <f t="shared" si="37"/>
        <v/>
      </c>
      <c r="L830" s="40" t="str">
        <f t="shared" si="38"/>
        <v/>
      </c>
    </row>
    <row r="831" spans="1:12" x14ac:dyDescent="0.25">
      <c r="A831" s="41"/>
      <c r="B831" s="41"/>
      <c r="C831" s="41"/>
      <c r="D831" s="41"/>
      <c r="E831" s="41"/>
      <c r="F831" s="83"/>
      <c r="G831" s="41"/>
      <c r="H831" s="48"/>
      <c r="I831" s="48"/>
      <c r="J831" s="41" t="str">
        <f t="shared" si="36"/>
        <v/>
      </c>
      <c r="K831" s="98" t="str">
        <f t="shared" si="37"/>
        <v/>
      </c>
      <c r="L831" s="40" t="str">
        <f t="shared" si="38"/>
        <v/>
      </c>
    </row>
    <row r="832" spans="1:12" x14ac:dyDescent="0.25">
      <c r="A832" s="41"/>
      <c r="B832" s="41"/>
      <c r="C832" s="41"/>
      <c r="D832" s="41"/>
      <c r="E832" s="41"/>
      <c r="F832" s="83"/>
      <c r="G832" s="41"/>
      <c r="H832" s="48"/>
      <c r="I832" s="48"/>
      <c r="J832" s="41" t="str">
        <f t="shared" si="36"/>
        <v/>
      </c>
      <c r="K832" s="98" t="str">
        <f t="shared" si="37"/>
        <v/>
      </c>
      <c r="L832" s="40" t="str">
        <f t="shared" si="38"/>
        <v/>
      </c>
    </row>
    <row r="833" spans="1:12" x14ac:dyDescent="0.25">
      <c r="A833" s="41"/>
      <c r="B833" s="41"/>
      <c r="C833" s="41"/>
      <c r="D833" s="41"/>
      <c r="E833" s="41"/>
      <c r="F833" s="83"/>
      <c r="G833" s="41"/>
      <c r="H833" s="48"/>
      <c r="I833" s="48"/>
      <c r="J833" s="41" t="str">
        <f t="shared" si="36"/>
        <v/>
      </c>
      <c r="K833" s="98" t="str">
        <f t="shared" si="37"/>
        <v/>
      </c>
      <c r="L833" s="40" t="str">
        <f t="shared" si="38"/>
        <v/>
      </c>
    </row>
    <row r="834" spans="1:12" x14ac:dyDescent="0.25">
      <c r="A834" s="41"/>
      <c r="B834" s="41"/>
      <c r="C834" s="41"/>
      <c r="D834" s="41"/>
      <c r="E834" s="41"/>
      <c r="F834" s="83"/>
      <c r="G834" s="41"/>
      <c r="H834" s="48"/>
      <c r="I834" s="48"/>
      <c r="J834" s="41" t="str">
        <f t="shared" si="36"/>
        <v/>
      </c>
      <c r="K834" s="98" t="str">
        <f t="shared" si="37"/>
        <v/>
      </c>
      <c r="L834" s="40" t="str">
        <f t="shared" si="38"/>
        <v/>
      </c>
    </row>
    <row r="835" spans="1:12" x14ac:dyDescent="0.25">
      <c r="A835" s="41"/>
      <c r="B835" s="41"/>
      <c r="C835" s="41"/>
      <c r="D835" s="41"/>
      <c r="E835" s="41"/>
      <c r="F835" s="83"/>
      <c r="G835" s="41"/>
      <c r="H835" s="48"/>
      <c r="I835" s="48"/>
      <c r="J835" s="41" t="str">
        <f t="shared" si="36"/>
        <v/>
      </c>
      <c r="K835" s="98" t="str">
        <f t="shared" si="37"/>
        <v/>
      </c>
      <c r="L835" s="40" t="str">
        <f t="shared" si="38"/>
        <v/>
      </c>
    </row>
    <row r="836" spans="1:12" x14ac:dyDescent="0.25">
      <c r="A836" s="41"/>
      <c r="B836" s="41"/>
      <c r="C836" s="41"/>
      <c r="D836" s="41"/>
      <c r="E836" s="41"/>
      <c r="F836" s="83"/>
      <c r="G836" s="41"/>
      <c r="H836" s="48"/>
      <c r="I836" s="48"/>
      <c r="J836" s="41" t="str">
        <f t="shared" si="36"/>
        <v/>
      </c>
      <c r="K836" s="98" t="str">
        <f t="shared" si="37"/>
        <v/>
      </c>
      <c r="L836" s="40" t="str">
        <f t="shared" si="38"/>
        <v/>
      </c>
    </row>
    <row r="837" spans="1:12" x14ac:dyDescent="0.25">
      <c r="A837" s="41"/>
      <c r="B837" s="41"/>
      <c r="C837" s="41"/>
      <c r="D837" s="41"/>
      <c r="E837" s="41"/>
      <c r="F837" s="83"/>
      <c r="G837" s="41"/>
      <c r="H837" s="48"/>
      <c r="I837" s="48"/>
      <c r="J837" s="41" t="str">
        <f t="shared" si="36"/>
        <v/>
      </c>
      <c r="K837" s="98" t="str">
        <f t="shared" si="37"/>
        <v/>
      </c>
      <c r="L837" s="40" t="str">
        <f t="shared" si="38"/>
        <v/>
      </c>
    </row>
    <row r="838" spans="1:12" x14ac:dyDescent="0.25">
      <c r="A838" s="41"/>
      <c r="B838" s="41"/>
      <c r="C838" s="41"/>
      <c r="D838" s="41"/>
      <c r="E838" s="41"/>
      <c r="F838" s="83"/>
      <c r="G838" s="41"/>
      <c r="H838" s="48"/>
      <c r="I838" s="48"/>
      <c r="J838" s="41" t="str">
        <f t="shared" si="36"/>
        <v/>
      </c>
      <c r="K838" s="98" t="str">
        <f t="shared" si="37"/>
        <v/>
      </c>
      <c r="L838" s="40" t="str">
        <f t="shared" si="38"/>
        <v/>
      </c>
    </row>
    <row r="839" spans="1:12" x14ac:dyDescent="0.25">
      <c r="A839" s="41"/>
      <c r="B839" s="41"/>
      <c r="C839" s="41"/>
      <c r="D839" s="41"/>
      <c r="E839" s="41"/>
      <c r="F839" s="83"/>
      <c r="G839" s="41"/>
      <c r="H839" s="48"/>
      <c r="I839" s="48"/>
      <c r="J839" s="41" t="str">
        <f t="shared" si="36"/>
        <v/>
      </c>
      <c r="K839" s="98" t="str">
        <f t="shared" si="37"/>
        <v/>
      </c>
      <c r="L839" s="40" t="str">
        <f t="shared" si="38"/>
        <v/>
      </c>
    </row>
    <row r="840" spans="1:12" x14ac:dyDescent="0.25">
      <c r="A840" s="41"/>
      <c r="B840" s="41"/>
      <c r="C840" s="41"/>
      <c r="D840" s="41"/>
      <c r="E840" s="41"/>
      <c r="F840" s="83"/>
      <c r="G840" s="41"/>
      <c r="H840" s="48"/>
      <c r="I840" s="48"/>
      <c r="J840" s="41" t="str">
        <f t="shared" si="36"/>
        <v/>
      </c>
      <c r="K840" s="98" t="str">
        <f t="shared" si="37"/>
        <v/>
      </c>
      <c r="L840" s="40" t="str">
        <f t="shared" si="38"/>
        <v/>
      </c>
    </row>
    <row r="841" spans="1:12" x14ac:dyDescent="0.25">
      <c r="A841" s="41"/>
      <c r="B841" s="41"/>
      <c r="C841" s="41"/>
      <c r="D841" s="41"/>
      <c r="E841" s="41"/>
      <c r="F841" s="83"/>
      <c r="G841" s="41"/>
      <c r="H841" s="48"/>
      <c r="I841" s="48"/>
      <c r="J841" s="41" t="str">
        <f t="shared" si="36"/>
        <v/>
      </c>
      <c r="K841" s="98" t="str">
        <f t="shared" si="37"/>
        <v/>
      </c>
      <c r="L841" s="40" t="str">
        <f t="shared" si="38"/>
        <v/>
      </c>
    </row>
    <row r="842" spans="1:12" x14ac:dyDescent="0.25">
      <c r="A842" s="41"/>
      <c r="B842" s="41"/>
      <c r="C842" s="41"/>
      <c r="D842" s="41"/>
      <c r="E842" s="41"/>
      <c r="F842" s="83"/>
      <c r="G842" s="41"/>
      <c r="H842" s="48"/>
      <c r="I842" s="48"/>
      <c r="J842" s="41" t="str">
        <f t="shared" ref="J842:J905" si="39">IFERROR(IF(NOT(ISNUMBER(H842)),"",IF(I842="","ABSENT/NO-SUBMISSION",IF(I842&lt;K842,"No Improvement, Previous marks be assigned.", "Marks Improved"))),"")</f>
        <v/>
      </c>
      <c r="K842" s="98" t="str">
        <f t="shared" ref="K842:K905" si="40">IFERROR(VALUE(MID(F842,6,FIND("%",F842)-6))*H842/100,"")</f>
        <v/>
      </c>
      <c r="L842" s="40" t="str">
        <f t="shared" ref="L842:L905" si="41">IF(AND(G842&lt;&gt;"REPEAT COARSE",A842&lt;&gt;""),"CASE#"&amp; A842&amp;": "&amp;"It is to Inform that you have failed "&amp;E842&amp;" due to "&amp;F842&amp;" percentages. You are required to "&amp;VLOOKUP(G842,$AA$1:$AD$30,2,FALSE) &amp;" " &amp;G842&amp;VLOOKUP(G842,$AA$1:$AD$30,3,FALSE),IF(A842&lt;&gt;"","CASE#"&amp; A842&amp;": "&amp;"It is to Inform that you have failed "&amp;E842&amp;" due to "&amp;F842&amp;" percentages. You are required to  "&amp;G842&amp;" next time if you are interested to imporve this CLO.",""))</f>
        <v/>
      </c>
    </row>
    <row r="843" spans="1:12" x14ac:dyDescent="0.25">
      <c r="A843" s="41"/>
      <c r="B843" s="41"/>
      <c r="C843" s="41"/>
      <c r="D843" s="41"/>
      <c r="E843" s="41"/>
      <c r="F843" s="83"/>
      <c r="G843" s="41"/>
      <c r="H843" s="48"/>
      <c r="I843" s="48"/>
      <c r="J843" s="41" t="str">
        <f t="shared" si="39"/>
        <v/>
      </c>
      <c r="K843" s="98" t="str">
        <f t="shared" si="40"/>
        <v/>
      </c>
      <c r="L843" s="40" t="str">
        <f t="shared" si="41"/>
        <v/>
      </c>
    </row>
    <row r="844" spans="1:12" x14ac:dyDescent="0.25">
      <c r="A844" s="41"/>
      <c r="B844" s="41"/>
      <c r="C844" s="41"/>
      <c r="D844" s="41"/>
      <c r="E844" s="41"/>
      <c r="F844" s="83"/>
      <c r="G844" s="41"/>
      <c r="H844" s="48"/>
      <c r="I844" s="48"/>
      <c r="J844" s="41" t="str">
        <f t="shared" si="39"/>
        <v/>
      </c>
      <c r="K844" s="98" t="str">
        <f t="shared" si="40"/>
        <v/>
      </c>
      <c r="L844" s="40" t="str">
        <f t="shared" si="41"/>
        <v/>
      </c>
    </row>
    <row r="845" spans="1:12" x14ac:dyDescent="0.25">
      <c r="A845" s="41"/>
      <c r="B845" s="41"/>
      <c r="C845" s="41"/>
      <c r="D845" s="41"/>
      <c r="E845" s="41"/>
      <c r="F845" s="83"/>
      <c r="G845" s="41"/>
      <c r="H845" s="48"/>
      <c r="I845" s="48"/>
      <c r="J845" s="41" t="str">
        <f t="shared" si="39"/>
        <v/>
      </c>
      <c r="K845" s="98" t="str">
        <f t="shared" si="40"/>
        <v/>
      </c>
      <c r="L845" s="40" t="str">
        <f t="shared" si="41"/>
        <v/>
      </c>
    </row>
    <row r="846" spans="1:12" x14ac:dyDescent="0.25">
      <c r="A846" s="41"/>
      <c r="B846" s="41"/>
      <c r="C846" s="41"/>
      <c r="D846" s="41"/>
      <c r="E846" s="41"/>
      <c r="F846" s="83"/>
      <c r="G846" s="41"/>
      <c r="H846" s="48"/>
      <c r="I846" s="48"/>
      <c r="J846" s="41" t="str">
        <f t="shared" si="39"/>
        <v/>
      </c>
      <c r="K846" s="98" t="str">
        <f t="shared" si="40"/>
        <v/>
      </c>
      <c r="L846" s="40" t="str">
        <f t="shared" si="41"/>
        <v/>
      </c>
    </row>
    <row r="847" spans="1:12" x14ac:dyDescent="0.25">
      <c r="A847" s="41"/>
      <c r="B847" s="41"/>
      <c r="C847" s="41"/>
      <c r="D847" s="41"/>
      <c r="E847" s="41"/>
      <c r="F847" s="83"/>
      <c r="G847" s="41"/>
      <c r="H847" s="48"/>
      <c r="I847" s="48"/>
      <c r="J847" s="41" t="str">
        <f t="shared" si="39"/>
        <v/>
      </c>
      <c r="K847" s="98" t="str">
        <f t="shared" si="40"/>
        <v/>
      </c>
      <c r="L847" s="40" t="str">
        <f t="shared" si="41"/>
        <v/>
      </c>
    </row>
    <row r="848" spans="1:12" x14ac:dyDescent="0.25">
      <c r="A848" s="41"/>
      <c r="B848" s="41"/>
      <c r="C848" s="41"/>
      <c r="D848" s="41"/>
      <c r="E848" s="41"/>
      <c r="F848" s="83"/>
      <c r="G848" s="41"/>
      <c r="H848" s="48"/>
      <c r="I848" s="48"/>
      <c r="J848" s="41" t="str">
        <f t="shared" si="39"/>
        <v/>
      </c>
      <c r="K848" s="98" t="str">
        <f t="shared" si="40"/>
        <v/>
      </c>
      <c r="L848" s="40" t="str">
        <f t="shared" si="41"/>
        <v/>
      </c>
    </row>
    <row r="849" spans="1:12" x14ac:dyDescent="0.25">
      <c r="A849" s="41"/>
      <c r="B849" s="41"/>
      <c r="C849" s="41"/>
      <c r="D849" s="41"/>
      <c r="E849" s="41"/>
      <c r="F849" s="83"/>
      <c r="G849" s="41"/>
      <c r="H849" s="48"/>
      <c r="I849" s="48"/>
      <c r="J849" s="41" t="str">
        <f t="shared" si="39"/>
        <v/>
      </c>
      <c r="K849" s="98" t="str">
        <f t="shared" si="40"/>
        <v/>
      </c>
      <c r="L849" s="40" t="str">
        <f t="shared" si="41"/>
        <v/>
      </c>
    </row>
    <row r="850" spans="1:12" x14ac:dyDescent="0.25">
      <c r="A850" s="41"/>
      <c r="B850" s="41"/>
      <c r="C850" s="41"/>
      <c r="D850" s="41"/>
      <c r="E850" s="41"/>
      <c r="F850" s="83"/>
      <c r="G850" s="41"/>
      <c r="H850" s="48"/>
      <c r="I850" s="48"/>
      <c r="J850" s="41" t="str">
        <f t="shared" si="39"/>
        <v/>
      </c>
      <c r="K850" s="98" t="str">
        <f t="shared" si="40"/>
        <v/>
      </c>
      <c r="L850" s="40" t="str">
        <f t="shared" si="41"/>
        <v/>
      </c>
    </row>
    <row r="851" spans="1:12" x14ac:dyDescent="0.25">
      <c r="A851" s="41"/>
      <c r="B851" s="41"/>
      <c r="C851" s="41"/>
      <c r="D851" s="41"/>
      <c r="E851" s="41"/>
      <c r="F851" s="83"/>
      <c r="G851" s="41"/>
      <c r="H851" s="48"/>
      <c r="I851" s="48"/>
      <c r="J851" s="41" t="str">
        <f t="shared" si="39"/>
        <v/>
      </c>
      <c r="K851" s="98" t="str">
        <f t="shared" si="40"/>
        <v/>
      </c>
      <c r="L851" s="40" t="str">
        <f t="shared" si="41"/>
        <v/>
      </c>
    </row>
    <row r="852" spans="1:12" x14ac:dyDescent="0.25">
      <c r="A852" s="41"/>
      <c r="B852" s="41"/>
      <c r="C852" s="41"/>
      <c r="D852" s="41"/>
      <c r="E852" s="41"/>
      <c r="F852" s="83"/>
      <c r="G852" s="41"/>
      <c r="H852" s="48"/>
      <c r="I852" s="48"/>
      <c r="J852" s="41" t="str">
        <f t="shared" si="39"/>
        <v/>
      </c>
      <c r="K852" s="98" t="str">
        <f t="shared" si="40"/>
        <v/>
      </c>
      <c r="L852" s="40" t="str">
        <f t="shared" si="41"/>
        <v/>
      </c>
    </row>
    <row r="853" spans="1:12" x14ac:dyDescent="0.25">
      <c r="A853" s="41"/>
      <c r="B853" s="41"/>
      <c r="C853" s="41"/>
      <c r="D853" s="41"/>
      <c r="E853" s="41"/>
      <c r="F853" s="83"/>
      <c r="G853" s="41"/>
      <c r="H853" s="48"/>
      <c r="I853" s="48"/>
      <c r="J853" s="41" t="str">
        <f t="shared" si="39"/>
        <v/>
      </c>
      <c r="K853" s="98" t="str">
        <f t="shared" si="40"/>
        <v/>
      </c>
      <c r="L853" s="40" t="str">
        <f t="shared" si="41"/>
        <v/>
      </c>
    </row>
    <row r="854" spans="1:12" x14ac:dyDescent="0.25">
      <c r="A854" s="41"/>
      <c r="B854" s="41"/>
      <c r="C854" s="41"/>
      <c r="D854" s="41"/>
      <c r="E854" s="41"/>
      <c r="F854" s="83"/>
      <c r="G854" s="41"/>
      <c r="H854" s="48"/>
      <c r="I854" s="48"/>
      <c r="J854" s="41" t="str">
        <f t="shared" si="39"/>
        <v/>
      </c>
      <c r="K854" s="98" t="str">
        <f t="shared" si="40"/>
        <v/>
      </c>
      <c r="L854" s="40" t="str">
        <f t="shared" si="41"/>
        <v/>
      </c>
    </row>
    <row r="855" spans="1:12" x14ac:dyDescent="0.25">
      <c r="A855" s="41"/>
      <c r="B855" s="41"/>
      <c r="C855" s="41"/>
      <c r="D855" s="41"/>
      <c r="E855" s="41"/>
      <c r="F855" s="83"/>
      <c r="G855" s="41"/>
      <c r="H855" s="48"/>
      <c r="I855" s="48"/>
      <c r="J855" s="41" t="str">
        <f t="shared" si="39"/>
        <v/>
      </c>
      <c r="K855" s="98" t="str">
        <f t="shared" si="40"/>
        <v/>
      </c>
      <c r="L855" s="40" t="str">
        <f t="shared" si="41"/>
        <v/>
      </c>
    </row>
    <row r="856" spans="1:12" x14ac:dyDescent="0.25">
      <c r="A856" s="41"/>
      <c r="B856" s="41"/>
      <c r="C856" s="41"/>
      <c r="D856" s="41"/>
      <c r="E856" s="41"/>
      <c r="F856" s="83"/>
      <c r="G856" s="41"/>
      <c r="H856" s="48"/>
      <c r="I856" s="48"/>
      <c r="J856" s="41" t="str">
        <f t="shared" si="39"/>
        <v/>
      </c>
      <c r="K856" s="98" t="str">
        <f t="shared" si="40"/>
        <v/>
      </c>
      <c r="L856" s="40" t="str">
        <f t="shared" si="41"/>
        <v/>
      </c>
    </row>
    <row r="857" spans="1:12" x14ac:dyDescent="0.25">
      <c r="A857" s="41"/>
      <c r="B857" s="41"/>
      <c r="C857" s="41"/>
      <c r="D857" s="41"/>
      <c r="E857" s="41"/>
      <c r="F857" s="83"/>
      <c r="G857" s="41"/>
      <c r="H857" s="48"/>
      <c r="I857" s="48"/>
      <c r="J857" s="41" t="str">
        <f t="shared" si="39"/>
        <v/>
      </c>
      <c r="K857" s="98" t="str">
        <f t="shared" si="40"/>
        <v/>
      </c>
      <c r="L857" s="40" t="str">
        <f t="shared" si="41"/>
        <v/>
      </c>
    </row>
    <row r="858" spans="1:12" x14ac:dyDescent="0.25">
      <c r="A858" s="41"/>
      <c r="B858" s="41"/>
      <c r="C858" s="41"/>
      <c r="D858" s="41"/>
      <c r="E858" s="41"/>
      <c r="F858" s="83"/>
      <c r="G858" s="41"/>
      <c r="H858" s="48"/>
      <c r="I858" s="48"/>
      <c r="J858" s="41" t="str">
        <f t="shared" si="39"/>
        <v/>
      </c>
      <c r="K858" s="98" t="str">
        <f t="shared" si="40"/>
        <v/>
      </c>
      <c r="L858" s="40" t="str">
        <f t="shared" si="41"/>
        <v/>
      </c>
    </row>
    <row r="859" spans="1:12" x14ac:dyDescent="0.25">
      <c r="A859" s="41"/>
      <c r="B859" s="41"/>
      <c r="C859" s="41"/>
      <c r="D859" s="41"/>
      <c r="E859" s="41"/>
      <c r="F859" s="83"/>
      <c r="G859" s="41"/>
      <c r="H859" s="48"/>
      <c r="I859" s="48"/>
      <c r="J859" s="41" t="str">
        <f t="shared" si="39"/>
        <v/>
      </c>
      <c r="K859" s="98" t="str">
        <f t="shared" si="40"/>
        <v/>
      </c>
      <c r="L859" s="40" t="str">
        <f t="shared" si="41"/>
        <v/>
      </c>
    </row>
    <row r="860" spans="1:12" x14ac:dyDescent="0.25">
      <c r="A860" s="41"/>
      <c r="B860" s="41"/>
      <c r="C860" s="41"/>
      <c r="D860" s="41"/>
      <c r="E860" s="41"/>
      <c r="F860" s="83"/>
      <c r="G860" s="41"/>
      <c r="H860" s="48"/>
      <c r="I860" s="48"/>
      <c r="J860" s="41" t="str">
        <f t="shared" si="39"/>
        <v/>
      </c>
      <c r="K860" s="98" t="str">
        <f t="shared" si="40"/>
        <v/>
      </c>
      <c r="L860" s="40" t="str">
        <f t="shared" si="41"/>
        <v/>
      </c>
    </row>
    <row r="861" spans="1:12" x14ac:dyDescent="0.25">
      <c r="A861" s="41"/>
      <c r="B861" s="41"/>
      <c r="C861" s="41"/>
      <c r="D861" s="41"/>
      <c r="E861" s="41"/>
      <c r="F861" s="83"/>
      <c r="G861" s="41"/>
      <c r="H861" s="48"/>
      <c r="I861" s="48"/>
      <c r="J861" s="41" t="str">
        <f t="shared" si="39"/>
        <v/>
      </c>
      <c r="K861" s="98" t="str">
        <f t="shared" si="40"/>
        <v/>
      </c>
      <c r="L861" s="40" t="str">
        <f t="shared" si="41"/>
        <v/>
      </c>
    </row>
    <row r="862" spans="1:12" x14ac:dyDescent="0.25">
      <c r="A862" s="41"/>
      <c r="B862" s="41"/>
      <c r="C862" s="41"/>
      <c r="D862" s="41"/>
      <c r="E862" s="41"/>
      <c r="F862" s="83"/>
      <c r="G862" s="41"/>
      <c r="H862" s="48"/>
      <c r="I862" s="48"/>
      <c r="J862" s="41" t="str">
        <f t="shared" si="39"/>
        <v/>
      </c>
      <c r="K862" s="98" t="str">
        <f t="shared" si="40"/>
        <v/>
      </c>
      <c r="L862" s="40" t="str">
        <f t="shared" si="41"/>
        <v/>
      </c>
    </row>
    <row r="863" spans="1:12" x14ac:dyDescent="0.25">
      <c r="A863" s="41"/>
      <c r="B863" s="41"/>
      <c r="C863" s="41"/>
      <c r="D863" s="41"/>
      <c r="E863" s="41"/>
      <c r="F863" s="83"/>
      <c r="G863" s="41"/>
      <c r="H863" s="48"/>
      <c r="I863" s="48"/>
      <c r="J863" s="41" t="str">
        <f t="shared" si="39"/>
        <v/>
      </c>
      <c r="K863" s="98" t="str">
        <f t="shared" si="40"/>
        <v/>
      </c>
      <c r="L863" s="40" t="str">
        <f t="shared" si="41"/>
        <v/>
      </c>
    </row>
    <row r="864" spans="1:12" x14ac:dyDescent="0.25">
      <c r="A864" s="41"/>
      <c r="B864" s="41"/>
      <c r="C864" s="41"/>
      <c r="D864" s="41"/>
      <c r="E864" s="41"/>
      <c r="F864" s="83"/>
      <c r="G864" s="41"/>
      <c r="H864" s="48"/>
      <c r="I864" s="48"/>
      <c r="J864" s="41" t="str">
        <f t="shared" si="39"/>
        <v/>
      </c>
      <c r="K864" s="98" t="str">
        <f t="shared" si="40"/>
        <v/>
      </c>
      <c r="L864" s="40" t="str">
        <f t="shared" si="41"/>
        <v/>
      </c>
    </row>
    <row r="865" spans="1:12" x14ac:dyDescent="0.25">
      <c r="A865" s="41"/>
      <c r="B865" s="41"/>
      <c r="C865" s="41"/>
      <c r="D865" s="41"/>
      <c r="E865" s="41"/>
      <c r="F865" s="83"/>
      <c r="G865" s="41"/>
      <c r="H865" s="48"/>
      <c r="I865" s="48"/>
      <c r="J865" s="41" t="str">
        <f t="shared" si="39"/>
        <v/>
      </c>
      <c r="K865" s="98" t="str">
        <f t="shared" si="40"/>
        <v/>
      </c>
      <c r="L865" s="40" t="str">
        <f t="shared" si="41"/>
        <v/>
      </c>
    </row>
    <row r="866" spans="1:12" x14ac:dyDescent="0.25">
      <c r="A866" s="41"/>
      <c r="B866" s="41"/>
      <c r="C866" s="41"/>
      <c r="D866" s="41"/>
      <c r="E866" s="41"/>
      <c r="F866" s="83"/>
      <c r="G866" s="41"/>
      <c r="H866" s="48"/>
      <c r="I866" s="48"/>
      <c r="J866" s="41" t="str">
        <f t="shared" si="39"/>
        <v/>
      </c>
      <c r="K866" s="98" t="str">
        <f t="shared" si="40"/>
        <v/>
      </c>
      <c r="L866" s="40" t="str">
        <f t="shared" si="41"/>
        <v/>
      </c>
    </row>
    <row r="867" spans="1:12" x14ac:dyDescent="0.25">
      <c r="A867" s="41"/>
      <c r="B867" s="41"/>
      <c r="C867" s="41"/>
      <c r="D867" s="41"/>
      <c r="E867" s="41"/>
      <c r="F867" s="83"/>
      <c r="G867" s="41"/>
      <c r="H867" s="48"/>
      <c r="I867" s="48"/>
      <c r="J867" s="41" t="str">
        <f t="shared" si="39"/>
        <v/>
      </c>
      <c r="K867" s="98" t="str">
        <f t="shared" si="40"/>
        <v/>
      </c>
      <c r="L867" s="40" t="str">
        <f t="shared" si="41"/>
        <v/>
      </c>
    </row>
    <row r="868" spans="1:12" x14ac:dyDescent="0.25">
      <c r="A868" s="41"/>
      <c r="B868" s="41"/>
      <c r="C868" s="41"/>
      <c r="D868" s="41"/>
      <c r="E868" s="41"/>
      <c r="F868" s="83"/>
      <c r="G868" s="41"/>
      <c r="H868" s="48"/>
      <c r="I868" s="48"/>
      <c r="J868" s="41" t="str">
        <f t="shared" si="39"/>
        <v/>
      </c>
      <c r="K868" s="98" t="str">
        <f t="shared" si="40"/>
        <v/>
      </c>
      <c r="L868" s="40" t="str">
        <f t="shared" si="41"/>
        <v/>
      </c>
    </row>
    <row r="869" spans="1:12" x14ac:dyDescent="0.25">
      <c r="A869" s="41"/>
      <c r="B869" s="41"/>
      <c r="C869" s="41"/>
      <c r="D869" s="41"/>
      <c r="E869" s="41"/>
      <c r="F869" s="83"/>
      <c r="G869" s="41"/>
      <c r="H869" s="48"/>
      <c r="I869" s="48"/>
      <c r="J869" s="41" t="str">
        <f t="shared" si="39"/>
        <v/>
      </c>
      <c r="K869" s="98" t="str">
        <f t="shared" si="40"/>
        <v/>
      </c>
      <c r="L869" s="40" t="str">
        <f t="shared" si="41"/>
        <v/>
      </c>
    </row>
    <row r="870" spans="1:12" x14ac:dyDescent="0.25">
      <c r="A870" s="41"/>
      <c r="B870" s="41"/>
      <c r="C870" s="41"/>
      <c r="D870" s="41"/>
      <c r="E870" s="41"/>
      <c r="F870" s="83"/>
      <c r="G870" s="41"/>
      <c r="H870" s="48"/>
      <c r="I870" s="48"/>
      <c r="J870" s="41" t="str">
        <f t="shared" si="39"/>
        <v/>
      </c>
      <c r="K870" s="98" t="str">
        <f t="shared" si="40"/>
        <v/>
      </c>
      <c r="L870" s="40" t="str">
        <f t="shared" si="41"/>
        <v/>
      </c>
    </row>
    <row r="871" spans="1:12" x14ac:dyDescent="0.25">
      <c r="A871" s="41"/>
      <c r="B871" s="41"/>
      <c r="C871" s="41"/>
      <c r="D871" s="41"/>
      <c r="E871" s="41"/>
      <c r="F871" s="83"/>
      <c r="G871" s="41"/>
      <c r="H871" s="48"/>
      <c r="I871" s="48"/>
      <c r="J871" s="41" t="str">
        <f t="shared" si="39"/>
        <v/>
      </c>
      <c r="K871" s="98" t="str">
        <f t="shared" si="40"/>
        <v/>
      </c>
      <c r="L871" s="40" t="str">
        <f t="shared" si="41"/>
        <v/>
      </c>
    </row>
    <row r="872" spans="1:12" x14ac:dyDescent="0.25">
      <c r="A872" s="41"/>
      <c r="B872" s="41"/>
      <c r="C872" s="41"/>
      <c r="D872" s="41"/>
      <c r="E872" s="41"/>
      <c r="F872" s="83"/>
      <c r="G872" s="41"/>
      <c r="H872" s="48"/>
      <c r="I872" s="48"/>
      <c r="J872" s="41" t="str">
        <f t="shared" si="39"/>
        <v/>
      </c>
      <c r="K872" s="98" t="str">
        <f t="shared" si="40"/>
        <v/>
      </c>
      <c r="L872" s="40" t="str">
        <f t="shared" si="41"/>
        <v/>
      </c>
    </row>
    <row r="873" spans="1:12" x14ac:dyDescent="0.25">
      <c r="A873" s="41"/>
      <c r="B873" s="41"/>
      <c r="C873" s="41"/>
      <c r="D873" s="41"/>
      <c r="E873" s="41"/>
      <c r="F873" s="83"/>
      <c r="G873" s="41"/>
      <c r="H873" s="48"/>
      <c r="I873" s="48"/>
      <c r="J873" s="41" t="str">
        <f t="shared" si="39"/>
        <v/>
      </c>
      <c r="K873" s="98" t="str">
        <f t="shared" si="40"/>
        <v/>
      </c>
      <c r="L873" s="40" t="str">
        <f t="shared" si="41"/>
        <v/>
      </c>
    </row>
    <row r="874" spans="1:12" x14ac:dyDescent="0.25">
      <c r="A874" s="41"/>
      <c r="B874" s="41"/>
      <c r="C874" s="41"/>
      <c r="D874" s="41"/>
      <c r="E874" s="41"/>
      <c r="F874" s="83"/>
      <c r="G874" s="41"/>
      <c r="H874" s="48"/>
      <c r="I874" s="48"/>
      <c r="J874" s="41" t="str">
        <f t="shared" si="39"/>
        <v/>
      </c>
      <c r="K874" s="98" t="str">
        <f t="shared" si="40"/>
        <v/>
      </c>
      <c r="L874" s="40" t="str">
        <f t="shared" si="41"/>
        <v/>
      </c>
    </row>
    <row r="875" spans="1:12" x14ac:dyDescent="0.25">
      <c r="A875" s="41"/>
      <c r="B875" s="41"/>
      <c r="C875" s="41"/>
      <c r="D875" s="41"/>
      <c r="E875" s="41"/>
      <c r="F875" s="83"/>
      <c r="G875" s="41"/>
      <c r="H875" s="48"/>
      <c r="I875" s="48"/>
      <c r="J875" s="41" t="str">
        <f t="shared" si="39"/>
        <v/>
      </c>
      <c r="K875" s="98" t="str">
        <f t="shared" si="40"/>
        <v/>
      </c>
      <c r="L875" s="40" t="str">
        <f t="shared" si="41"/>
        <v/>
      </c>
    </row>
    <row r="876" spans="1:12" x14ac:dyDescent="0.25">
      <c r="A876" s="41"/>
      <c r="B876" s="41"/>
      <c r="C876" s="41"/>
      <c r="D876" s="41"/>
      <c r="E876" s="41"/>
      <c r="F876" s="83"/>
      <c r="G876" s="41"/>
      <c r="H876" s="48"/>
      <c r="I876" s="48"/>
      <c r="J876" s="41" t="str">
        <f t="shared" si="39"/>
        <v/>
      </c>
      <c r="K876" s="98" t="str">
        <f t="shared" si="40"/>
        <v/>
      </c>
      <c r="L876" s="40" t="str">
        <f t="shared" si="41"/>
        <v/>
      </c>
    </row>
    <row r="877" spans="1:12" x14ac:dyDescent="0.25">
      <c r="A877" s="41"/>
      <c r="B877" s="41"/>
      <c r="C877" s="41"/>
      <c r="D877" s="41"/>
      <c r="E877" s="41"/>
      <c r="F877" s="83"/>
      <c r="G877" s="41"/>
      <c r="H877" s="48"/>
      <c r="I877" s="48"/>
      <c r="J877" s="41" t="str">
        <f t="shared" si="39"/>
        <v/>
      </c>
      <c r="K877" s="98" t="str">
        <f t="shared" si="40"/>
        <v/>
      </c>
      <c r="L877" s="40" t="str">
        <f t="shared" si="41"/>
        <v/>
      </c>
    </row>
    <row r="878" spans="1:12" x14ac:dyDescent="0.25">
      <c r="A878" s="41"/>
      <c r="B878" s="41"/>
      <c r="C878" s="41"/>
      <c r="D878" s="41"/>
      <c r="E878" s="41"/>
      <c r="F878" s="83"/>
      <c r="G878" s="41"/>
      <c r="H878" s="48"/>
      <c r="I878" s="48"/>
      <c r="J878" s="41" t="str">
        <f t="shared" si="39"/>
        <v/>
      </c>
      <c r="K878" s="98" t="str">
        <f t="shared" si="40"/>
        <v/>
      </c>
      <c r="L878" s="40" t="str">
        <f t="shared" si="41"/>
        <v/>
      </c>
    </row>
    <row r="879" spans="1:12" x14ac:dyDescent="0.25">
      <c r="A879" s="41"/>
      <c r="B879" s="41"/>
      <c r="C879" s="41"/>
      <c r="D879" s="41"/>
      <c r="E879" s="41"/>
      <c r="F879" s="83"/>
      <c r="G879" s="41"/>
      <c r="H879" s="48"/>
      <c r="I879" s="48"/>
      <c r="J879" s="41" t="str">
        <f t="shared" si="39"/>
        <v/>
      </c>
      <c r="K879" s="98" t="str">
        <f t="shared" si="40"/>
        <v/>
      </c>
      <c r="L879" s="40" t="str">
        <f t="shared" si="41"/>
        <v/>
      </c>
    </row>
    <row r="880" spans="1:12" x14ac:dyDescent="0.25">
      <c r="A880" s="41"/>
      <c r="B880" s="41"/>
      <c r="C880" s="41"/>
      <c r="D880" s="41"/>
      <c r="E880" s="41"/>
      <c r="F880" s="83"/>
      <c r="G880" s="41"/>
      <c r="H880" s="48"/>
      <c r="I880" s="48"/>
      <c r="J880" s="41" t="str">
        <f t="shared" si="39"/>
        <v/>
      </c>
      <c r="K880" s="98" t="str">
        <f t="shared" si="40"/>
        <v/>
      </c>
      <c r="L880" s="40" t="str">
        <f t="shared" si="41"/>
        <v/>
      </c>
    </row>
    <row r="881" spans="1:12" x14ac:dyDescent="0.25">
      <c r="A881" s="41"/>
      <c r="B881" s="41"/>
      <c r="C881" s="41"/>
      <c r="D881" s="41"/>
      <c r="E881" s="41"/>
      <c r="F881" s="83"/>
      <c r="G881" s="41"/>
      <c r="H881" s="48"/>
      <c r="I881" s="48"/>
      <c r="J881" s="41" t="str">
        <f t="shared" si="39"/>
        <v/>
      </c>
      <c r="K881" s="98" t="str">
        <f t="shared" si="40"/>
        <v/>
      </c>
      <c r="L881" s="40" t="str">
        <f t="shared" si="41"/>
        <v/>
      </c>
    </row>
    <row r="882" spans="1:12" x14ac:dyDescent="0.25">
      <c r="A882" s="41"/>
      <c r="B882" s="41"/>
      <c r="C882" s="41"/>
      <c r="D882" s="41"/>
      <c r="E882" s="41"/>
      <c r="F882" s="83"/>
      <c r="G882" s="41"/>
      <c r="H882" s="48"/>
      <c r="I882" s="48"/>
      <c r="J882" s="41" t="str">
        <f t="shared" si="39"/>
        <v/>
      </c>
      <c r="K882" s="98" t="str">
        <f t="shared" si="40"/>
        <v/>
      </c>
      <c r="L882" s="40" t="str">
        <f t="shared" si="41"/>
        <v/>
      </c>
    </row>
    <row r="883" spans="1:12" x14ac:dyDescent="0.25">
      <c r="A883" s="41"/>
      <c r="B883" s="41"/>
      <c r="C883" s="41"/>
      <c r="D883" s="41"/>
      <c r="E883" s="41"/>
      <c r="F883" s="83"/>
      <c r="G883" s="41"/>
      <c r="H883" s="48"/>
      <c r="I883" s="48"/>
      <c r="J883" s="41" t="str">
        <f t="shared" si="39"/>
        <v/>
      </c>
      <c r="K883" s="98" t="str">
        <f t="shared" si="40"/>
        <v/>
      </c>
      <c r="L883" s="40" t="str">
        <f t="shared" si="41"/>
        <v/>
      </c>
    </row>
    <row r="884" spans="1:12" x14ac:dyDescent="0.25">
      <c r="A884" s="41"/>
      <c r="B884" s="41"/>
      <c r="C884" s="41"/>
      <c r="D884" s="41"/>
      <c r="E884" s="41"/>
      <c r="F884" s="83"/>
      <c r="G884" s="41"/>
      <c r="H884" s="48"/>
      <c r="I884" s="48"/>
      <c r="J884" s="41" t="str">
        <f t="shared" si="39"/>
        <v/>
      </c>
      <c r="K884" s="98" t="str">
        <f t="shared" si="40"/>
        <v/>
      </c>
      <c r="L884" s="40" t="str">
        <f t="shared" si="41"/>
        <v/>
      </c>
    </row>
    <row r="885" spans="1:12" x14ac:dyDescent="0.25">
      <c r="A885" s="41"/>
      <c r="B885" s="41"/>
      <c r="C885" s="41"/>
      <c r="D885" s="41"/>
      <c r="E885" s="41"/>
      <c r="F885" s="83"/>
      <c r="G885" s="41"/>
      <c r="H885" s="48"/>
      <c r="I885" s="48"/>
      <c r="J885" s="41" t="str">
        <f t="shared" si="39"/>
        <v/>
      </c>
      <c r="K885" s="98" t="str">
        <f t="shared" si="40"/>
        <v/>
      </c>
      <c r="L885" s="40" t="str">
        <f t="shared" si="41"/>
        <v/>
      </c>
    </row>
    <row r="886" spans="1:12" x14ac:dyDescent="0.25">
      <c r="A886" s="41"/>
      <c r="B886" s="41"/>
      <c r="C886" s="41"/>
      <c r="D886" s="41"/>
      <c r="E886" s="41"/>
      <c r="F886" s="83"/>
      <c r="G886" s="41"/>
      <c r="H886" s="48"/>
      <c r="I886" s="48"/>
      <c r="J886" s="41" t="str">
        <f t="shared" si="39"/>
        <v/>
      </c>
      <c r="K886" s="98" t="str">
        <f t="shared" si="40"/>
        <v/>
      </c>
      <c r="L886" s="40" t="str">
        <f t="shared" si="41"/>
        <v/>
      </c>
    </row>
    <row r="887" spans="1:12" x14ac:dyDescent="0.25">
      <c r="A887" s="41"/>
      <c r="B887" s="41"/>
      <c r="C887" s="41"/>
      <c r="D887" s="41"/>
      <c r="E887" s="41"/>
      <c r="F887" s="83"/>
      <c r="G887" s="41"/>
      <c r="H887" s="48"/>
      <c r="I887" s="48"/>
      <c r="J887" s="41" t="str">
        <f t="shared" si="39"/>
        <v/>
      </c>
      <c r="K887" s="98" t="str">
        <f t="shared" si="40"/>
        <v/>
      </c>
      <c r="L887" s="40" t="str">
        <f t="shared" si="41"/>
        <v/>
      </c>
    </row>
    <row r="888" spans="1:12" x14ac:dyDescent="0.25">
      <c r="A888" s="41"/>
      <c r="B888" s="41"/>
      <c r="C888" s="41"/>
      <c r="D888" s="41"/>
      <c r="E888" s="41"/>
      <c r="F888" s="83"/>
      <c r="G888" s="41"/>
      <c r="H888" s="48"/>
      <c r="I888" s="48"/>
      <c r="J888" s="41" t="str">
        <f t="shared" si="39"/>
        <v/>
      </c>
      <c r="K888" s="98" t="str">
        <f t="shared" si="40"/>
        <v/>
      </c>
      <c r="L888" s="40" t="str">
        <f t="shared" si="41"/>
        <v/>
      </c>
    </row>
    <row r="889" spans="1:12" x14ac:dyDescent="0.25">
      <c r="A889" s="41"/>
      <c r="B889" s="41"/>
      <c r="C889" s="41"/>
      <c r="D889" s="41"/>
      <c r="E889" s="41"/>
      <c r="F889" s="83"/>
      <c r="G889" s="41"/>
      <c r="H889" s="48"/>
      <c r="I889" s="48"/>
      <c r="J889" s="41" t="str">
        <f t="shared" si="39"/>
        <v/>
      </c>
      <c r="K889" s="98" t="str">
        <f t="shared" si="40"/>
        <v/>
      </c>
      <c r="L889" s="40" t="str">
        <f t="shared" si="41"/>
        <v/>
      </c>
    </row>
    <row r="890" spans="1:12" x14ac:dyDescent="0.25">
      <c r="A890" s="41"/>
      <c r="B890" s="41"/>
      <c r="C890" s="41"/>
      <c r="D890" s="41"/>
      <c r="E890" s="41"/>
      <c r="F890" s="83"/>
      <c r="G890" s="41"/>
      <c r="H890" s="48"/>
      <c r="I890" s="48"/>
      <c r="J890" s="41" t="str">
        <f t="shared" si="39"/>
        <v/>
      </c>
      <c r="K890" s="98" t="str">
        <f t="shared" si="40"/>
        <v/>
      </c>
      <c r="L890" s="40" t="str">
        <f t="shared" si="41"/>
        <v/>
      </c>
    </row>
    <row r="891" spans="1:12" x14ac:dyDescent="0.25">
      <c r="A891" s="41"/>
      <c r="B891" s="41"/>
      <c r="C891" s="41"/>
      <c r="D891" s="41"/>
      <c r="E891" s="41"/>
      <c r="F891" s="83"/>
      <c r="G891" s="41"/>
      <c r="H891" s="48"/>
      <c r="I891" s="48"/>
      <c r="J891" s="41" t="str">
        <f t="shared" si="39"/>
        <v/>
      </c>
      <c r="K891" s="98" t="str">
        <f t="shared" si="40"/>
        <v/>
      </c>
      <c r="L891" s="40" t="str">
        <f t="shared" si="41"/>
        <v/>
      </c>
    </row>
    <row r="892" spans="1:12" x14ac:dyDescent="0.25">
      <c r="A892" s="41"/>
      <c r="B892" s="41"/>
      <c r="C892" s="41"/>
      <c r="D892" s="41"/>
      <c r="E892" s="41"/>
      <c r="F892" s="83"/>
      <c r="G892" s="41"/>
      <c r="H892" s="48"/>
      <c r="I892" s="48"/>
      <c r="J892" s="41" t="str">
        <f t="shared" si="39"/>
        <v/>
      </c>
      <c r="K892" s="98" t="str">
        <f t="shared" si="40"/>
        <v/>
      </c>
      <c r="L892" s="40" t="str">
        <f t="shared" si="41"/>
        <v/>
      </c>
    </row>
    <row r="893" spans="1:12" x14ac:dyDescent="0.25">
      <c r="A893" s="41"/>
      <c r="B893" s="41"/>
      <c r="C893" s="41"/>
      <c r="D893" s="41"/>
      <c r="E893" s="41"/>
      <c r="F893" s="83"/>
      <c r="G893" s="41"/>
      <c r="H893" s="48"/>
      <c r="I893" s="48"/>
      <c r="J893" s="41" t="str">
        <f t="shared" si="39"/>
        <v/>
      </c>
      <c r="K893" s="98" t="str">
        <f t="shared" si="40"/>
        <v/>
      </c>
      <c r="L893" s="40" t="str">
        <f t="shared" si="41"/>
        <v/>
      </c>
    </row>
    <row r="894" spans="1:12" x14ac:dyDescent="0.25">
      <c r="A894" s="41"/>
      <c r="B894" s="41"/>
      <c r="C894" s="41"/>
      <c r="D894" s="41"/>
      <c r="E894" s="41"/>
      <c r="F894" s="83"/>
      <c r="G894" s="41"/>
      <c r="H894" s="48"/>
      <c r="I894" s="48"/>
      <c r="J894" s="41" t="str">
        <f t="shared" si="39"/>
        <v/>
      </c>
      <c r="K894" s="98" t="str">
        <f t="shared" si="40"/>
        <v/>
      </c>
      <c r="L894" s="40" t="str">
        <f t="shared" si="41"/>
        <v/>
      </c>
    </row>
    <row r="895" spans="1:12" x14ac:dyDescent="0.25">
      <c r="A895" s="41"/>
      <c r="B895" s="41"/>
      <c r="C895" s="41"/>
      <c r="D895" s="41"/>
      <c r="E895" s="41"/>
      <c r="F895" s="83"/>
      <c r="G895" s="41"/>
      <c r="H895" s="48"/>
      <c r="I895" s="48"/>
      <c r="J895" s="41" t="str">
        <f t="shared" si="39"/>
        <v/>
      </c>
      <c r="K895" s="98" t="str">
        <f t="shared" si="40"/>
        <v/>
      </c>
      <c r="L895" s="40" t="str">
        <f t="shared" si="41"/>
        <v/>
      </c>
    </row>
    <row r="896" spans="1:12" x14ac:dyDescent="0.25">
      <c r="A896" s="41"/>
      <c r="B896" s="41"/>
      <c r="C896" s="41"/>
      <c r="D896" s="41"/>
      <c r="E896" s="41"/>
      <c r="F896" s="83"/>
      <c r="G896" s="41"/>
      <c r="H896" s="48"/>
      <c r="I896" s="48"/>
      <c r="J896" s="41" t="str">
        <f t="shared" si="39"/>
        <v/>
      </c>
      <c r="K896" s="98" t="str">
        <f t="shared" si="40"/>
        <v/>
      </c>
      <c r="L896" s="40" t="str">
        <f t="shared" si="41"/>
        <v/>
      </c>
    </row>
    <row r="897" spans="1:12" x14ac:dyDescent="0.25">
      <c r="A897" s="41"/>
      <c r="B897" s="41"/>
      <c r="C897" s="41"/>
      <c r="D897" s="41"/>
      <c r="E897" s="41"/>
      <c r="F897" s="83"/>
      <c r="G897" s="41"/>
      <c r="H897" s="48"/>
      <c r="I897" s="48"/>
      <c r="J897" s="41" t="str">
        <f t="shared" si="39"/>
        <v/>
      </c>
      <c r="K897" s="98" t="str">
        <f t="shared" si="40"/>
        <v/>
      </c>
      <c r="L897" s="40" t="str">
        <f t="shared" si="41"/>
        <v/>
      </c>
    </row>
    <row r="898" spans="1:12" x14ac:dyDescent="0.25">
      <c r="A898" s="41"/>
      <c r="B898" s="41"/>
      <c r="C898" s="41"/>
      <c r="D898" s="41"/>
      <c r="E898" s="41"/>
      <c r="F898" s="83"/>
      <c r="G898" s="41"/>
      <c r="H898" s="48"/>
      <c r="I898" s="48"/>
      <c r="J898" s="41" t="str">
        <f t="shared" si="39"/>
        <v/>
      </c>
      <c r="K898" s="98" t="str">
        <f t="shared" si="40"/>
        <v/>
      </c>
      <c r="L898" s="40" t="str">
        <f t="shared" si="41"/>
        <v/>
      </c>
    </row>
    <row r="899" spans="1:12" x14ac:dyDescent="0.25">
      <c r="A899" s="41"/>
      <c r="B899" s="41"/>
      <c r="C899" s="41"/>
      <c r="D899" s="41"/>
      <c r="E899" s="41"/>
      <c r="F899" s="83"/>
      <c r="G899" s="41"/>
      <c r="H899" s="48"/>
      <c r="I899" s="48"/>
      <c r="J899" s="41" t="str">
        <f t="shared" si="39"/>
        <v/>
      </c>
      <c r="K899" s="98" t="str">
        <f t="shared" si="40"/>
        <v/>
      </c>
      <c r="L899" s="40" t="str">
        <f t="shared" si="41"/>
        <v/>
      </c>
    </row>
    <row r="900" spans="1:12" x14ac:dyDescent="0.25">
      <c r="A900" s="41"/>
      <c r="B900" s="41"/>
      <c r="C900" s="41"/>
      <c r="D900" s="41"/>
      <c r="E900" s="41"/>
      <c r="F900" s="83"/>
      <c r="G900" s="41"/>
      <c r="H900" s="48"/>
      <c r="I900" s="48"/>
      <c r="J900" s="41" t="str">
        <f t="shared" si="39"/>
        <v/>
      </c>
      <c r="K900" s="98" t="str">
        <f t="shared" si="40"/>
        <v/>
      </c>
      <c r="L900" s="40" t="str">
        <f t="shared" si="41"/>
        <v/>
      </c>
    </row>
    <row r="901" spans="1:12" x14ac:dyDescent="0.25">
      <c r="A901" s="41"/>
      <c r="B901" s="41"/>
      <c r="C901" s="41"/>
      <c r="D901" s="41"/>
      <c r="E901" s="41"/>
      <c r="F901" s="83"/>
      <c r="G901" s="41"/>
      <c r="H901" s="48"/>
      <c r="I901" s="48"/>
      <c r="J901" s="41" t="str">
        <f t="shared" si="39"/>
        <v/>
      </c>
      <c r="K901" s="98" t="str">
        <f t="shared" si="40"/>
        <v/>
      </c>
      <c r="L901" s="40" t="str">
        <f t="shared" si="41"/>
        <v/>
      </c>
    </row>
    <row r="902" spans="1:12" x14ac:dyDescent="0.25">
      <c r="A902" s="41"/>
      <c r="B902" s="41"/>
      <c r="C902" s="41"/>
      <c r="D902" s="41"/>
      <c r="E902" s="41"/>
      <c r="F902" s="83"/>
      <c r="G902" s="41"/>
      <c r="H902" s="48"/>
      <c r="I902" s="48"/>
      <c r="J902" s="41" t="str">
        <f t="shared" si="39"/>
        <v/>
      </c>
      <c r="K902" s="98" t="str">
        <f t="shared" si="40"/>
        <v/>
      </c>
      <c r="L902" s="40" t="str">
        <f t="shared" si="41"/>
        <v/>
      </c>
    </row>
    <row r="903" spans="1:12" x14ac:dyDescent="0.25">
      <c r="A903" s="41"/>
      <c r="B903" s="41"/>
      <c r="C903" s="41"/>
      <c r="D903" s="41"/>
      <c r="E903" s="41"/>
      <c r="F903" s="83"/>
      <c r="G903" s="41"/>
      <c r="H903" s="48"/>
      <c r="I903" s="48"/>
      <c r="J903" s="41" t="str">
        <f t="shared" si="39"/>
        <v/>
      </c>
      <c r="K903" s="98" t="str">
        <f t="shared" si="40"/>
        <v/>
      </c>
      <c r="L903" s="40" t="str">
        <f t="shared" si="41"/>
        <v/>
      </c>
    </row>
    <row r="904" spans="1:12" x14ac:dyDescent="0.25">
      <c r="A904" s="41"/>
      <c r="B904" s="41"/>
      <c r="C904" s="41"/>
      <c r="D904" s="41"/>
      <c r="E904" s="41"/>
      <c r="F904" s="83"/>
      <c r="G904" s="41"/>
      <c r="H904" s="48"/>
      <c r="I904" s="48"/>
      <c r="J904" s="41" t="str">
        <f t="shared" si="39"/>
        <v/>
      </c>
      <c r="K904" s="98" t="str">
        <f t="shared" si="40"/>
        <v/>
      </c>
      <c r="L904" s="40" t="str">
        <f t="shared" si="41"/>
        <v/>
      </c>
    </row>
    <row r="905" spans="1:12" x14ac:dyDescent="0.25">
      <c r="A905" s="41"/>
      <c r="B905" s="41"/>
      <c r="C905" s="41"/>
      <c r="D905" s="41"/>
      <c r="E905" s="41"/>
      <c r="F905" s="83"/>
      <c r="G905" s="41"/>
      <c r="H905" s="48"/>
      <c r="I905" s="48"/>
      <c r="J905" s="41" t="str">
        <f t="shared" si="39"/>
        <v/>
      </c>
      <c r="K905" s="98" t="str">
        <f t="shared" si="40"/>
        <v/>
      </c>
      <c r="L905" s="40" t="str">
        <f t="shared" si="41"/>
        <v/>
      </c>
    </row>
    <row r="906" spans="1:12" x14ac:dyDescent="0.25">
      <c r="A906" s="41"/>
      <c r="B906" s="41"/>
      <c r="C906" s="41"/>
      <c r="D906" s="41"/>
      <c r="E906" s="41"/>
      <c r="F906" s="83"/>
      <c r="G906" s="41"/>
      <c r="H906" s="48"/>
      <c r="I906" s="48"/>
      <c r="J906" s="41" t="str">
        <f t="shared" ref="J906:J969" si="42">IFERROR(IF(NOT(ISNUMBER(H906)),"",IF(I906="","ABSENT/NO-SUBMISSION",IF(I906&lt;K906,"No Improvement, Previous marks be assigned.", "Marks Improved"))),"")</f>
        <v/>
      </c>
      <c r="K906" s="98" t="str">
        <f t="shared" ref="K906:K969" si="43">IFERROR(VALUE(MID(F906,6,FIND("%",F906)-6))*H906/100,"")</f>
        <v/>
      </c>
      <c r="L906" s="40" t="str">
        <f t="shared" ref="L906:L969" si="44">IF(AND(G906&lt;&gt;"REPEAT COARSE",A906&lt;&gt;""),"CASE#"&amp; A906&amp;": "&amp;"It is to Inform that you have failed "&amp;E906&amp;" due to "&amp;F906&amp;" percentages. You are required to "&amp;VLOOKUP(G906,$AA$1:$AD$30,2,FALSE) &amp;" " &amp;G906&amp;VLOOKUP(G906,$AA$1:$AD$30,3,FALSE),IF(A906&lt;&gt;"","CASE#"&amp; A906&amp;": "&amp;"It is to Inform that you have failed "&amp;E906&amp;" due to "&amp;F906&amp;" percentages. You are required to  "&amp;G906&amp;" next time if you are interested to imporve this CLO.",""))</f>
        <v/>
      </c>
    </row>
    <row r="907" spans="1:12" x14ac:dyDescent="0.25">
      <c r="A907" s="41"/>
      <c r="B907" s="41"/>
      <c r="C907" s="41"/>
      <c r="D907" s="41"/>
      <c r="E907" s="41"/>
      <c r="F907" s="83"/>
      <c r="G907" s="41"/>
      <c r="H907" s="48"/>
      <c r="I907" s="48"/>
      <c r="J907" s="41" t="str">
        <f t="shared" si="42"/>
        <v/>
      </c>
      <c r="K907" s="98" t="str">
        <f t="shared" si="43"/>
        <v/>
      </c>
      <c r="L907" s="40" t="str">
        <f t="shared" si="44"/>
        <v/>
      </c>
    </row>
    <row r="908" spans="1:12" x14ac:dyDescent="0.25">
      <c r="A908" s="41"/>
      <c r="B908" s="41"/>
      <c r="C908" s="41"/>
      <c r="D908" s="41"/>
      <c r="E908" s="41"/>
      <c r="F908" s="83"/>
      <c r="G908" s="41"/>
      <c r="H908" s="48"/>
      <c r="I908" s="48"/>
      <c r="J908" s="41" t="str">
        <f t="shared" si="42"/>
        <v/>
      </c>
      <c r="K908" s="98" t="str">
        <f t="shared" si="43"/>
        <v/>
      </c>
      <c r="L908" s="40" t="str">
        <f t="shared" si="44"/>
        <v/>
      </c>
    </row>
    <row r="909" spans="1:12" x14ac:dyDescent="0.25">
      <c r="A909" s="41"/>
      <c r="B909" s="41"/>
      <c r="C909" s="41"/>
      <c r="D909" s="41"/>
      <c r="E909" s="41"/>
      <c r="F909" s="83"/>
      <c r="G909" s="41"/>
      <c r="H909" s="48"/>
      <c r="I909" s="48"/>
      <c r="J909" s="41" t="str">
        <f t="shared" si="42"/>
        <v/>
      </c>
      <c r="K909" s="98" t="str">
        <f t="shared" si="43"/>
        <v/>
      </c>
      <c r="L909" s="40" t="str">
        <f t="shared" si="44"/>
        <v/>
      </c>
    </row>
    <row r="910" spans="1:12" x14ac:dyDescent="0.25">
      <c r="A910" s="41"/>
      <c r="B910" s="41"/>
      <c r="C910" s="41"/>
      <c r="D910" s="41"/>
      <c r="E910" s="41"/>
      <c r="F910" s="83"/>
      <c r="G910" s="41"/>
      <c r="H910" s="48"/>
      <c r="I910" s="48"/>
      <c r="J910" s="41" t="str">
        <f t="shared" si="42"/>
        <v/>
      </c>
      <c r="K910" s="98" t="str">
        <f t="shared" si="43"/>
        <v/>
      </c>
      <c r="L910" s="40" t="str">
        <f t="shared" si="44"/>
        <v/>
      </c>
    </row>
    <row r="911" spans="1:12" x14ac:dyDescent="0.25">
      <c r="A911" s="41"/>
      <c r="B911" s="41"/>
      <c r="C911" s="41"/>
      <c r="D911" s="41"/>
      <c r="E911" s="41"/>
      <c r="F911" s="83"/>
      <c r="G911" s="41"/>
      <c r="H911" s="48"/>
      <c r="I911" s="48"/>
      <c r="J911" s="41" t="str">
        <f t="shared" si="42"/>
        <v/>
      </c>
      <c r="K911" s="98" t="str">
        <f t="shared" si="43"/>
        <v/>
      </c>
      <c r="L911" s="40" t="str">
        <f t="shared" si="44"/>
        <v/>
      </c>
    </row>
    <row r="912" spans="1:12" x14ac:dyDescent="0.25">
      <c r="A912" s="41"/>
      <c r="B912" s="41"/>
      <c r="C912" s="41"/>
      <c r="D912" s="41"/>
      <c r="E912" s="41"/>
      <c r="F912" s="83"/>
      <c r="G912" s="41"/>
      <c r="H912" s="48"/>
      <c r="I912" s="48"/>
      <c r="J912" s="41" t="str">
        <f t="shared" si="42"/>
        <v/>
      </c>
      <c r="K912" s="98" t="str">
        <f t="shared" si="43"/>
        <v/>
      </c>
      <c r="L912" s="40" t="str">
        <f t="shared" si="44"/>
        <v/>
      </c>
    </row>
    <row r="913" spans="1:12" x14ac:dyDescent="0.25">
      <c r="A913" s="41"/>
      <c r="B913" s="41"/>
      <c r="C913" s="41"/>
      <c r="D913" s="41"/>
      <c r="E913" s="41"/>
      <c r="F913" s="83"/>
      <c r="G913" s="41"/>
      <c r="H913" s="48"/>
      <c r="I913" s="48"/>
      <c r="J913" s="41" t="str">
        <f t="shared" si="42"/>
        <v/>
      </c>
      <c r="K913" s="98" t="str">
        <f t="shared" si="43"/>
        <v/>
      </c>
      <c r="L913" s="40" t="str">
        <f t="shared" si="44"/>
        <v/>
      </c>
    </row>
    <row r="914" spans="1:12" x14ac:dyDescent="0.25">
      <c r="A914" s="41"/>
      <c r="B914" s="41"/>
      <c r="C914" s="41"/>
      <c r="D914" s="41"/>
      <c r="E914" s="41"/>
      <c r="F914" s="83"/>
      <c r="G914" s="41"/>
      <c r="H914" s="48"/>
      <c r="I914" s="48"/>
      <c r="J914" s="41" t="str">
        <f t="shared" si="42"/>
        <v/>
      </c>
      <c r="K914" s="98" t="str">
        <f t="shared" si="43"/>
        <v/>
      </c>
      <c r="L914" s="40" t="str">
        <f t="shared" si="44"/>
        <v/>
      </c>
    </row>
    <row r="915" spans="1:12" x14ac:dyDescent="0.25">
      <c r="A915" s="41"/>
      <c r="B915" s="41"/>
      <c r="C915" s="41"/>
      <c r="D915" s="41"/>
      <c r="E915" s="41"/>
      <c r="F915" s="83"/>
      <c r="G915" s="41"/>
      <c r="H915" s="48"/>
      <c r="I915" s="48"/>
      <c r="J915" s="41" t="str">
        <f t="shared" si="42"/>
        <v/>
      </c>
      <c r="K915" s="98" t="str">
        <f t="shared" si="43"/>
        <v/>
      </c>
      <c r="L915" s="40" t="str">
        <f t="shared" si="44"/>
        <v/>
      </c>
    </row>
    <row r="916" spans="1:12" x14ac:dyDescent="0.25">
      <c r="A916" s="41"/>
      <c r="B916" s="41"/>
      <c r="C916" s="41"/>
      <c r="D916" s="41"/>
      <c r="E916" s="41"/>
      <c r="F916" s="83"/>
      <c r="G916" s="41"/>
      <c r="H916" s="48"/>
      <c r="I916" s="48"/>
      <c r="J916" s="41" t="str">
        <f t="shared" si="42"/>
        <v/>
      </c>
      <c r="K916" s="98" t="str">
        <f t="shared" si="43"/>
        <v/>
      </c>
      <c r="L916" s="40" t="str">
        <f t="shared" si="44"/>
        <v/>
      </c>
    </row>
    <row r="917" spans="1:12" x14ac:dyDescent="0.25">
      <c r="A917" s="41"/>
      <c r="B917" s="41"/>
      <c r="C917" s="41"/>
      <c r="D917" s="41"/>
      <c r="E917" s="41"/>
      <c r="F917" s="83"/>
      <c r="G917" s="41"/>
      <c r="H917" s="48"/>
      <c r="I917" s="48"/>
      <c r="J917" s="41" t="str">
        <f t="shared" si="42"/>
        <v/>
      </c>
      <c r="K917" s="98" t="str">
        <f t="shared" si="43"/>
        <v/>
      </c>
      <c r="L917" s="40" t="str">
        <f t="shared" si="44"/>
        <v/>
      </c>
    </row>
    <row r="918" spans="1:12" x14ac:dyDescent="0.25">
      <c r="A918" s="41"/>
      <c r="B918" s="41"/>
      <c r="C918" s="41"/>
      <c r="D918" s="41"/>
      <c r="E918" s="41"/>
      <c r="F918" s="83"/>
      <c r="G918" s="41"/>
      <c r="H918" s="48"/>
      <c r="I918" s="48"/>
      <c r="J918" s="41" t="str">
        <f t="shared" si="42"/>
        <v/>
      </c>
      <c r="K918" s="98" t="str">
        <f t="shared" si="43"/>
        <v/>
      </c>
      <c r="L918" s="40" t="str">
        <f t="shared" si="44"/>
        <v/>
      </c>
    </row>
    <row r="919" spans="1:12" x14ac:dyDescent="0.25">
      <c r="A919" s="41"/>
      <c r="B919" s="41"/>
      <c r="C919" s="41"/>
      <c r="D919" s="41"/>
      <c r="E919" s="41"/>
      <c r="F919" s="83"/>
      <c r="G919" s="41"/>
      <c r="H919" s="48"/>
      <c r="I919" s="48"/>
      <c r="J919" s="41" t="str">
        <f t="shared" si="42"/>
        <v/>
      </c>
      <c r="K919" s="98" t="str">
        <f t="shared" si="43"/>
        <v/>
      </c>
      <c r="L919" s="40" t="str">
        <f t="shared" si="44"/>
        <v/>
      </c>
    </row>
    <row r="920" spans="1:12" x14ac:dyDescent="0.25">
      <c r="A920" s="41"/>
      <c r="B920" s="41"/>
      <c r="C920" s="41"/>
      <c r="D920" s="41"/>
      <c r="E920" s="41"/>
      <c r="F920" s="83"/>
      <c r="G920" s="41"/>
      <c r="H920" s="48"/>
      <c r="I920" s="48"/>
      <c r="J920" s="41" t="str">
        <f t="shared" si="42"/>
        <v/>
      </c>
      <c r="K920" s="98" t="str">
        <f t="shared" si="43"/>
        <v/>
      </c>
      <c r="L920" s="40" t="str">
        <f t="shared" si="44"/>
        <v/>
      </c>
    </row>
    <row r="921" spans="1:12" x14ac:dyDescent="0.25">
      <c r="A921" s="41"/>
      <c r="B921" s="41"/>
      <c r="C921" s="41"/>
      <c r="D921" s="41"/>
      <c r="E921" s="41"/>
      <c r="F921" s="83"/>
      <c r="G921" s="41"/>
      <c r="H921" s="48"/>
      <c r="I921" s="48"/>
      <c r="J921" s="41" t="str">
        <f t="shared" si="42"/>
        <v/>
      </c>
      <c r="K921" s="98" t="str">
        <f t="shared" si="43"/>
        <v/>
      </c>
      <c r="L921" s="40" t="str">
        <f t="shared" si="44"/>
        <v/>
      </c>
    </row>
    <row r="922" spans="1:12" x14ac:dyDescent="0.25">
      <c r="A922" s="41"/>
      <c r="B922" s="41"/>
      <c r="C922" s="41"/>
      <c r="D922" s="41"/>
      <c r="E922" s="41"/>
      <c r="F922" s="83"/>
      <c r="G922" s="41"/>
      <c r="H922" s="48"/>
      <c r="I922" s="48"/>
      <c r="J922" s="41" t="str">
        <f t="shared" si="42"/>
        <v/>
      </c>
      <c r="K922" s="98" t="str">
        <f t="shared" si="43"/>
        <v/>
      </c>
      <c r="L922" s="40" t="str">
        <f t="shared" si="44"/>
        <v/>
      </c>
    </row>
    <row r="923" spans="1:12" x14ac:dyDescent="0.25">
      <c r="A923" s="41"/>
      <c r="B923" s="41"/>
      <c r="C923" s="41"/>
      <c r="D923" s="41"/>
      <c r="E923" s="41"/>
      <c r="F923" s="83"/>
      <c r="G923" s="41"/>
      <c r="H923" s="48"/>
      <c r="I923" s="48"/>
      <c r="J923" s="41" t="str">
        <f t="shared" si="42"/>
        <v/>
      </c>
      <c r="K923" s="98" t="str">
        <f t="shared" si="43"/>
        <v/>
      </c>
      <c r="L923" s="40" t="str">
        <f t="shared" si="44"/>
        <v/>
      </c>
    </row>
    <row r="924" spans="1:12" x14ac:dyDescent="0.25">
      <c r="A924" s="41"/>
      <c r="B924" s="41"/>
      <c r="C924" s="41"/>
      <c r="D924" s="41"/>
      <c r="E924" s="41"/>
      <c r="F924" s="83"/>
      <c r="G924" s="41"/>
      <c r="H924" s="48"/>
      <c r="I924" s="48"/>
      <c r="J924" s="41" t="str">
        <f t="shared" si="42"/>
        <v/>
      </c>
      <c r="K924" s="98" t="str">
        <f t="shared" si="43"/>
        <v/>
      </c>
      <c r="L924" s="40" t="str">
        <f t="shared" si="44"/>
        <v/>
      </c>
    </row>
    <row r="925" spans="1:12" x14ac:dyDescent="0.25">
      <c r="A925" s="41"/>
      <c r="B925" s="41"/>
      <c r="C925" s="41"/>
      <c r="D925" s="41"/>
      <c r="E925" s="41"/>
      <c r="F925" s="83"/>
      <c r="G925" s="41"/>
      <c r="H925" s="48"/>
      <c r="I925" s="48"/>
      <c r="J925" s="41" t="str">
        <f t="shared" si="42"/>
        <v/>
      </c>
      <c r="K925" s="98" t="str">
        <f t="shared" si="43"/>
        <v/>
      </c>
      <c r="L925" s="40" t="str">
        <f t="shared" si="44"/>
        <v/>
      </c>
    </row>
    <row r="926" spans="1:12" x14ac:dyDescent="0.25">
      <c r="A926" s="41"/>
      <c r="B926" s="41"/>
      <c r="C926" s="41"/>
      <c r="D926" s="41"/>
      <c r="E926" s="41"/>
      <c r="F926" s="83"/>
      <c r="G926" s="41"/>
      <c r="H926" s="48"/>
      <c r="I926" s="48"/>
      <c r="J926" s="41" t="str">
        <f t="shared" si="42"/>
        <v/>
      </c>
      <c r="K926" s="98" t="str">
        <f t="shared" si="43"/>
        <v/>
      </c>
      <c r="L926" s="40" t="str">
        <f t="shared" si="44"/>
        <v/>
      </c>
    </row>
    <row r="927" spans="1:12" x14ac:dyDescent="0.25">
      <c r="A927" s="41"/>
      <c r="B927" s="41"/>
      <c r="C927" s="41"/>
      <c r="D927" s="41"/>
      <c r="E927" s="41"/>
      <c r="F927" s="83"/>
      <c r="G927" s="41"/>
      <c r="H927" s="48"/>
      <c r="I927" s="48"/>
      <c r="J927" s="41" t="str">
        <f t="shared" si="42"/>
        <v/>
      </c>
      <c r="K927" s="98" t="str">
        <f t="shared" si="43"/>
        <v/>
      </c>
      <c r="L927" s="40" t="str">
        <f t="shared" si="44"/>
        <v/>
      </c>
    </row>
    <row r="928" spans="1:12" x14ac:dyDescent="0.25">
      <c r="A928" s="41"/>
      <c r="B928" s="41"/>
      <c r="C928" s="41"/>
      <c r="D928" s="41"/>
      <c r="E928" s="41"/>
      <c r="F928" s="83"/>
      <c r="G928" s="41"/>
      <c r="H928" s="48"/>
      <c r="I928" s="48"/>
      <c r="J928" s="41" t="str">
        <f t="shared" si="42"/>
        <v/>
      </c>
      <c r="K928" s="98" t="str">
        <f t="shared" si="43"/>
        <v/>
      </c>
      <c r="L928" s="40" t="str">
        <f t="shared" si="44"/>
        <v/>
      </c>
    </row>
    <row r="929" spans="1:12" x14ac:dyDescent="0.25">
      <c r="A929" s="41"/>
      <c r="B929" s="41"/>
      <c r="C929" s="41"/>
      <c r="D929" s="41"/>
      <c r="E929" s="41"/>
      <c r="F929" s="83"/>
      <c r="G929" s="41"/>
      <c r="H929" s="48"/>
      <c r="I929" s="48"/>
      <c r="J929" s="41" t="str">
        <f t="shared" si="42"/>
        <v/>
      </c>
      <c r="K929" s="98" t="str">
        <f t="shared" si="43"/>
        <v/>
      </c>
      <c r="L929" s="40" t="str">
        <f t="shared" si="44"/>
        <v/>
      </c>
    </row>
    <row r="930" spans="1:12" x14ac:dyDescent="0.25">
      <c r="A930" s="41"/>
      <c r="B930" s="41"/>
      <c r="C930" s="41"/>
      <c r="D930" s="41"/>
      <c r="E930" s="41"/>
      <c r="F930" s="83"/>
      <c r="G930" s="41"/>
      <c r="H930" s="48"/>
      <c r="I930" s="48"/>
      <c r="J930" s="41" t="str">
        <f t="shared" si="42"/>
        <v/>
      </c>
      <c r="K930" s="98" t="str">
        <f t="shared" si="43"/>
        <v/>
      </c>
      <c r="L930" s="40" t="str">
        <f t="shared" si="44"/>
        <v/>
      </c>
    </row>
    <row r="931" spans="1:12" x14ac:dyDescent="0.25">
      <c r="A931" s="41"/>
      <c r="B931" s="41"/>
      <c r="C931" s="41"/>
      <c r="D931" s="41"/>
      <c r="E931" s="41"/>
      <c r="F931" s="83"/>
      <c r="G931" s="41"/>
      <c r="H931" s="48"/>
      <c r="I931" s="48"/>
      <c r="J931" s="41" t="str">
        <f t="shared" si="42"/>
        <v/>
      </c>
      <c r="K931" s="98" t="str">
        <f t="shared" si="43"/>
        <v/>
      </c>
      <c r="L931" s="40" t="str">
        <f t="shared" si="44"/>
        <v/>
      </c>
    </row>
    <row r="932" spans="1:12" x14ac:dyDescent="0.25">
      <c r="A932" s="41"/>
      <c r="B932" s="41"/>
      <c r="C932" s="41"/>
      <c r="D932" s="41"/>
      <c r="E932" s="41"/>
      <c r="F932" s="83"/>
      <c r="G932" s="41"/>
      <c r="H932" s="48"/>
      <c r="I932" s="48"/>
      <c r="J932" s="41" t="str">
        <f t="shared" si="42"/>
        <v/>
      </c>
      <c r="K932" s="98" t="str">
        <f t="shared" si="43"/>
        <v/>
      </c>
      <c r="L932" s="40" t="str">
        <f t="shared" si="44"/>
        <v/>
      </c>
    </row>
    <row r="933" spans="1:12" x14ac:dyDescent="0.25">
      <c r="A933" s="41"/>
      <c r="B933" s="41"/>
      <c r="C933" s="41"/>
      <c r="D933" s="41"/>
      <c r="E933" s="41"/>
      <c r="F933" s="83"/>
      <c r="G933" s="41"/>
      <c r="H933" s="48"/>
      <c r="I933" s="48"/>
      <c r="J933" s="41" t="str">
        <f t="shared" si="42"/>
        <v/>
      </c>
      <c r="K933" s="98" t="str">
        <f t="shared" si="43"/>
        <v/>
      </c>
      <c r="L933" s="40" t="str">
        <f t="shared" si="44"/>
        <v/>
      </c>
    </row>
    <row r="934" spans="1:12" x14ac:dyDescent="0.25">
      <c r="A934" s="41"/>
      <c r="B934" s="41"/>
      <c r="C934" s="41"/>
      <c r="D934" s="41"/>
      <c r="E934" s="41"/>
      <c r="F934" s="83"/>
      <c r="G934" s="41"/>
      <c r="H934" s="48"/>
      <c r="I934" s="48"/>
      <c r="J934" s="41" t="str">
        <f t="shared" si="42"/>
        <v/>
      </c>
      <c r="K934" s="98" t="str">
        <f t="shared" si="43"/>
        <v/>
      </c>
      <c r="L934" s="40" t="str">
        <f t="shared" si="44"/>
        <v/>
      </c>
    </row>
    <row r="935" spans="1:12" x14ac:dyDescent="0.25">
      <c r="A935" s="41"/>
      <c r="B935" s="41"/>
      <c r="C935" s="41"/>
      <c r="D935" s="41"/>
      <c r="E935" s="41"/>
      <c r="F935" s="83"/>
      <c r="G935" s="41"/>
      <c r="H935" s="48"/>
      <c r="I935" s="48"/>
      <c r="J935" s="41" t="str">
        <f t="shared" si="42"/>
        <v/>
      </c>
      <c r="K935" s="98" t="str">
        <f t="shared" si="43"/>
        <v/>
      </c>
      <c r="L935" s="40" t="str">
        <f t="shared" si="44"/>
        <v/>
      </c>
    </row>
    <row r="936" spans="1:12" x14ac:dyDescent="0.25">
      <c r="A936" s="41"/>
      <c r="B936" s="41"/>
      <c r="C936" s="41"/>
      <c r="D936" s="41"/>
      <c r="E936" s="41"/>
      <c r="F936" s="83"/>
      <c r="G936" s="41"/>
      <c r="H936" s="48"/>
      <c r="I936" s="48"/>
      <c r="J936" s="41" t="str">
        <f t="shared" si="42"/>
        <v/>
      </c>
      <c r="K936" s="98" t="str">
        <f t="shared" si="43"/>
        <v/>
      </c>
      <c r="L936" s="40" t="str">
        <f t="shared" si="44"/>
        <v/>
      </c>
    </row>
    <row r="937" spans="1:12" x14ac:dyDescent="0.25">
      <c r="A937" s="41"/>
      <c r="B937" s="41"/>
      <c r="C937" s="41"/>
      <c r="D937" s="41"/>
      <c r="E937" s="41"/>
      <c r="F937" s="83"/>
      <c r="G937" s="41"/>
      <c r="H937" s="48"/>
      <c r="I937" s="48"/>
      <c r="J937" s="41" t="str">
        <f t="shared" si="42"/>
        <v/>
      </c>
      <c r="K937" s="98" t="str">
        <f t="shared" si="43"/>
        <v/>
      </c>
      <c r="L937" s="40" t="str">
        <f t="shared" si="44"/>
        <v/>
      </c>
    </row>
    <row r="938" spans="1:12" x14ac:dyDescent="0.25">
      <c r="A938" s="41"/>
      <c r="B938" s="41"/>
      <c r="C938" s="41"/>
      <c r="D938" s="41"/>
      <c r="E938" s="41"/>
      <c r="F938" s="83"/>
      <c r="G938" s="41"/>
      <c r="H938" s="48"/>
      <c r="I938" s="48"/>
      <c r="J938" s="41" t="str">
        <f t="shared" si="42"/>
        <v/>
      </c>
      <c r="K938" s="98" t="str">
        <f t="shared" si="43"/>
        <v/>
      </c>
      <c r="L938" s="40" t="str">
        <f t="shared" si="44"/>
        <v/>
      </c>
    </row>
    <row r="939" spans="1:12" x14ac:dyDescent="0.25">
      <c r="A939" s="41"/>
      <c r="B939" s="41"/>
      <c r="C939" s="41"/>
      <c r="D939" s="41"/>
      <c r="E939" s="41"/>
      <c r="F939" s="83"/>
      <c r="G939" s="41"/>
      <c r="H939" s="48"/>
      <c r="I939" s="48"/>
      <c r="J939" s="41" t="str">
        <f t="shared" si="42"/>
        <v/>
      </c>
      <c r="K939" s="98" t="str">
        <f t="shared" si="43"/>
        <v/>
      </c>
      <c r="L939" s="40" t="str">
        <f t="shared" si="44"/>
        <v/>
      </c>
    </row>
    <row r="940" spans="1:12" x14ac:dyDescent="0.25">
      <c r="A940" s="41"/>
      <c r="B940" s="41"/>
      <c r="C940" s="41"/>
      <c r="D940" s="41"/>
      <c r="E940" s="41"/>
      <c r="F940" s="83"/>
      <c r="G940" s="41"/>
      <c r="H940" s="48"/>
      <c r="I940" s="48"/>
      <c r="J940" s="41" t="str">
        <f t="shared" si="42"/>
        <v/>
      </c>
      <c r="K940" s="98" t="str">
        <f t="shared" si="43"/>
        <v/>
      </c>
      <c r="L940" s="40" t="str">
        <f t="shared" si="44"/>
        <v/>
      </c>
    </row>
    <row r="941" spans="1:12" x14ac:dyDescent="0.25">
      <c r="A941" s="41"/>
      <c r="B941" s="41"/>
      <c r="C941" s="41"/>
      <c r="D941" s="41"/>
      <c r="E941" s="41"/>
      <c r="F941" s="83"/>
      <c r="G941" s="41"/>
      <c r="H941" s="48"/>
      <c r="I941" s="48"/>
      <c r="J941" s="41" t="str">
        <f t="shared" si="42"/>
        <v/>
      </c>
      <c r="K941" s="98" t="str">
        <f t="shared" si="43"/>
        <v/>
      </c>
      <c r="L941" s="40" t="str">
        <f t="shared" si="44"/>
        <v/>
      </c>
    </row>
    <row r="942" spans="1:12" x14ac:dyDescent="0.25">
      <c r="A942" s="41"/>
      <c r="B942" s="41"/>
      <c r="C942" s="41"/>
      <c r="D942" s="41"/>
      <c r="E942" s="41"/>
      <c r="F942" s="83"/>
      <c r="G942" s="41"/>
      <c r="H942" s="48"/>
      <c r="I942" s="48"/>
      <c r="J942" s="41" t="str">
        <f t="shared" si="42"/>
        <v/>
      </c>
      <c r="K942" s="98" t="str">
        <f t="shared" si="43"/>
        <v/>
      </c>
      <c r="L942" s="40" t="str">
        <f t="shared" si="44"/>
        <v/>
      </c>
    </row>
    <row r="943" spans="1:12" x14ac:dyDescent="0.25">
      <c r="A943" s="41"/>
      <c r="B943" s="41"/>
      <c r="C943" s="41"/>
      <c r="D943" s="41"/>
      <c r="E943" s="41"/>
      <c r="F943" s="83"/>
      <c r="G943" s="41"/>
      <c r="H943" s="48"/>
      <c r="I943" s="48"/>
      <c r="J943" s="41" t="str">
        <f t="shared" si="42"/>
        <v/>
      </c>
      <c r="K943" s="98" t="str">
        <f t="shared" si="43"/>
        <v/>
      </c>
      <c r="L943" s="40" t="str">
        <f t="shared" si="44"/>
        <v/>
      </c>
    </row>
    <row r="944" spans="1:12" x14ac:dyDescent="0.25">
      <c r="A944" s="41"/>
      <c r="B944" s="41"/>
      <c r="C944" s="41"/>
      <c r="D944" s="41"/>
      <c r="E944" s="41"/>
      <c r="F944" s="83"/>
      <c r="G944" s="41"/>
      <c r="H944" s="48"/>
      <c r="I944" s="48"/>
      <c r="J944" s="41" t="str">
        <f t="shared" si="42"/>
        <v/>
      </c>
      <c r="K944" s="98" t="str">
        <f t="shared" si="43"/>
        <v/>
      </c>
      <c r="L944" s="40" t="str">
        <f t="shared" si="44"/>
        <v/>
      </c>
    </row>
    <row r="945" spans="1:12" x14ac:dyDescent="0.25">
      <c r="A945" s="41"/>
      <c r="B945" s="41"/>
      <c r="C945" s="41"/>
      <c r="D945" s="41"/>
      <c r="E945" s="41"/>
      <c r="F945" s="83"/>
      <c r="G945" s="41"/>
      <c r="H945" s="48"/>
      <c r="I945" s="48"/>
      <c r="J945" s="41" t="str">
        <f t="shared" si="42"/>
        <v/>
      </c>
      <c r="K945" s="98" t="str">
        <f t="shared" si="43"/>
        <v/>
      </c>
      <c r="L945" s="40" t="str">
        <f t="shared" si="44"/>
        <v/>
      </c>
    </row>
    <row r="946" spans="1:12" x14ac:dyDescent="0.25">
      <c r="A946" s="41"/>
      <c r="B946" s="41"/>
      <c r="C946" s="41"/>
      <c r="D946" s="41"/>
      <c r="E946" s="41"/>
      <c r="F946" s="83"/>
      <c r="G946" s="41"/>
      <c r="H946" s="48"/>
      <c r="I946" s="48"/>
      <c r="J946" s="41" t="str">
        <f t="shared" si="42"/>
        <v/>
      </c>
      <c r="K946" s="98" t="str">
        <f t="shared" si="43"/>
        <v/>
      </c>
      <c r="L946" s="40" t="str">
        <f t="shared" si="44"/>
        <v/>
      </c>
    </row>
    <row r="947" spans="1:12" x14ac:dyDescent="0.25">
      <c r="A947" s="41"/>
      <c r="B947" s="41"/>
      <c r="C947" s="41"/>
      <c r="D947" s="41"/>
      <c r="E947" s="41"/>
      <c r="F947" s="83"/>
      <c r="G947" s="41"/>
      <c r="H947" s="48"/>
      <c r="I947" s="48"/>
      <c r="J947" s="41" t="str">
        <f t="shared" si="42"/>
        <v/>
      </c>
      <c r="K947" s="98" t="str">
        <f t="shared" si="43"/>
        <v/>
      </c>
      <c r="L947" s="40" t="str">
        <f t="shared" si="44"/>
        <v/>
      </c>
    </row>
    <row r="948" spans="1:12" x14ac:dyDescent="0.25">
      <c r="A948" s="41"/>
      <c r="B948" s="41"/>
      <c r="C948" s="41"/>
      <c r="D948" s="41"/>
      <c r="E948" s="41"/>
      <c r="F948" s="83"/>
      <c r="G948" s="41"/>
      <c r="H948" s="48"/>
      <c r="I948" s="48"/>
      <c r="J948" s="41" t="str">
        <f t="shared" si="42"/>
        <v/>
      </c>
      <c r="K948" s="98" t="str">
        <f t="shared" si="43"/>
        <v/>
      </c>
      <c r="L948" s="40" t="str">
        <f t="shared" si="44"/>
        <v/>
      </c>
    </row>
    <row r="949" spans="1:12" x14ac:dyDescent="0.25">
      <c r="A949" s="41"/>
      <c r="B949" s="41"/>
      <c r="C949" s="41"/>
      <c r="D949" s="41"/>
      <c r="E949" s="41"/>
      <c r="F949" s="83"/>
      <c r="G949" s="41"/>
      <c r="H949" s="48"/>
      <c r="I949" s="48"/>
      <c r="J949" s="41" t="str">
        <f t="shared" si="42"/>
        <v/>
      </c>
      <c r="K949" s="98" t="str">
        <f t="shared" si="43"/>
        <v/>
      </c>
      <c r="L949" s="40" t="str">
        <f t="shared" si="44"/>
        <v/>
      </c>
    </row>
    <row r="950" spans="1:12" x14ac:dyDescent="0.25">
      <c r="A950" s="41"/>
      <c r="B950" s="41"/>
      <c r="C950" s="41"/>
      <c r="D950" s="41"/>
      <c r="E950" s="41"/>
      <c r="F950" s="83"/>
      <c r="G950" s="41"/>
      <c r="H950" s="48"/>
      <c r="I950" s="48"/>
      <c r="J950" s="41" t="str">
        <f t="shared" si="42"/>
        <v/>
      </c>
      <c r="K950" s="98" t="str">
        <f t="shared" si="43"/>
        <v/>
      </c>
      <c r="L950" s="40" t="str">
        <f t="shared" si="44"/>
        <v/>
      </c>
    </row>
    <row r="951" spans="1:12" x14ac:dyDescent="0.25">
      <c r="A951" s="41"/>
      <c r="B951" s="41"/>
      <c r="C951" s="41"/>
      <c r="D951" s="41"/>
      <c r="E951" s="41"/>
      <c r="F951" s="83"/>
      <c r="G951" s="41"/>
      <c r="H951" s="48"/>
      <c r="I951" s="48"/>
      <c r="J951" s="41" t="str">
        <f t="shared" si="42"/>
        <v/>
      </c>
      <c r="K951" s="98" t="str">
        <f t="shared" si="43"/>
        <v/>
      </c>
      <c r="L951" s="40" t="str">
        <f t="shared" si="44"/>
        <v/>
      </c>
    </row>
    <row r="952" spans="1:12" x14ac:dyDescent="0.25">
      <c r="A952" s="41"/>
      <c r="B952" s="41"/>
      <c r="C952" s="41"/>
      <c r="D952" s="41"/>
      <c r="E952" s="41"/>
      <c r="F952" s="83"/>
      <c r="G952" s="41"/>
      <c r="H952" s="48"/>
      <c r="I952" s="48"/>
      <c r="J952" s="41" t="str">
        <f t="shared" si="42"/>
        <v/>
      </c>
      <c r="K952" s="98" t="str">
        <f t="shared" si="43"/>
        <v/>
      </c>
      <c r="L952" s="40" t="str">
        <f t="shared" si="44"/>
        <v/>
      </c>
    </row>
    <row r="953" spans="1:12" x14ac:dyDescent="0.25">
      <c r="A953" s="41"/>
      <c r="B953" s="41"/>
      <c r="C953" s="41"/>
      <c r="D953" s="41"/>
      <c r="E953" s="41"/>
      <c r="F953" s="83"/>
      <c r="G953" s="41"/>
      <c r="H953" s="48"/>
      <c r="I953" s="48"/>
      <c r="J953" s="41" t="str">
        <f t="shared" si="42"/>
        <v/>
      </c>
      <c r="K953" s="98" t="str">
        <f t="shared" si="43"/>
        <v/>
      </c>
      <c r="L953" s="40" t="str">
        <f t="shared" si="44"/>
        <v/>
      </c>
    </row>
    <row r="954" spans="1:12" x14ac:dyDescent="0.25">
      <c r="A954" s="41"/>
      <c r="B954" s="41"/>
      <c r="C954" s="41"/>
      <c r="D954" s="41"/>
      <c r="E954" s="41"/>
      <c r="F954" s="83"/>
      <c r="G954" s="41"/>
      <c r="H954" s="48"/>
      <c r="I954" s="48"/>
      <c r="J954" s="41" t="str">
        <f t="shared" si="42"/>
        <v/>
      </c>
      <c r="K954" s="98" t="str">
        <f t="shared" si="43"/>
        <v/>
      </c>
      <c r="L954" s="40" t="str">
        <f t="shared" si="44"/>
        <v/>
      </c>
    </row>
    <row r="955" spans="1:12" x14ac:dyDescent="0.25">
      <c r="A955" s="41"/>
      <c r="B955" s="41"/>
      <c r="C955" s="41"/>
      <c r="D955" s="41"/>
      <c r="E955" s="41"/>
      <c r="F955" s="83"/>
      <c r="G955" s="41"/>
      <c r="H955" s="48"/>
      <c r="I955" s="48"/>
      <c r="J955" s="41" t="str">
        <f t="shared" si="42"/>
        <v/>
      </c>
      <c r="K955" s="98" t="str">
        <f t="shared" si="43"/>
        <v/>
      </c>
      <c r="L955" s="40" t="str">
        <f t="shared" si="44"/>
        <v/>
      </c>
    </row>
    <row r="956" spans="1:12" x14ac:dyDescent="0.25">
      <c r="A956" s="41"/>
      <c r="B956" s="41"/>
      <c r="C956" s="41"/>
      <c r="D956" s="41"/>
      <c r="E956" s="41"/>
      <c r="F956" s="83"/>
      <c r="G956" s="41"/>
      <c r="H956" s="48"/>
      <c r="I956" s="48"/>
      <c r="J956" s="41" t="str">
        <f t="shared" si="42"/>
        <v/>
      </c>
      <c r="K956" s="98" t="str">
        <f t="shared" si="43"/>
        <v/>
      </c>
      <c r="L956" s="40" t="str">
        <f t="shared" si="44"/>
        <v/>
      </c>
    </row>
    <row r="957" spans="1:12" x14ac:dyDescent="0.25">
      <c r="A957" s="41"/>
      <c r="B957" s="41"/>
      <c r="C957" s="41"/>
      <c r="D957" s="41"/>
      <c r="E957" s="41"/>
      <c r="F957" s="83"/>
      <c r="G957" s="41"/>
      <c r="H957" s="48"/>
      <c r="I957" s="48"/>
      <c r="J957" s="41" t="str">
        <f t="shared" si="42"/>
        <v/>
      </c>
      <c r="K957" s="98" t="str">
        <f t="shared" si="43"/>
        <v/>
      </c>
      <c r="L957" s="40" t="str">
        <f t="shared" si="44"/>
        <v/>
      </c>
    </row>
    <row r="958" spans="1:12" x14ac:dyDescent="0.25">
      <c r="A958" s="41"/>
      <c r="B958" s="41"/>
      <c r="C958" s="41"/>
      <c r="D958" s="41"/>
      <c r="E958" s="41"/>
      <c r="F958" s="83"/>
      <c r="G958" s="41"/>
      <c r="H958" s="48"/>
      <c r="I958" s="48"/>
      <c r="J958" s="41" t="str">
        <f t="shared" si="42"/>
        <v/>
      </c>
      <c r="K958" s="98" t="str">
        <f t="shared" si="43"/>
        <v/>
      </c>
      <c r="L958" s="40" t="str">
        <f t="shared" si="44"/>
        <v/>
      </c>
    </row>
    <row r="959" spans="1:12" x14ac:dyDescent="0.25">
      <c r="A959" s="41"/>
      <c r="B959" s="41"/>
      <c r="C959" s="41"/>
      <c r="D959" s="41"/>
      <c r="E959" s="41"/>
      <c r="F959" s="83"/>
      <c r="G959" s="41"/>
      <c r="H959" s="48"/>
      <c r="I959" s="48"/>
      <c r="J959" s="41" t="str">
        <f t="shared" si="42"/>
        <v/>
      </c>
      <c r="K959" s="98" t="str">
        <f t="shared" si="43"/>
        <v/>
      </c>
      <c r="L959" s="40" t="str">
        <f t="shared" si="44"/>
        <v/>
      </c>
    </row>
    <row r="960" spans="1:12" x14ac:dyDescent="0.25">
      <c r="A960" s="41"/>
      <c r="B960" s="41"/>
      <c r="C960" s="41"/>
      <c r="D960" s="41"/>
      <c r="E960" s="41"/>
      <c r="F960" s="83"/>
      <c r="G960" s="41"/>
      <c r="H960" s="48"/>
      <c r="I960" s="48"/>
      <c r="J960" s="41" t="str">
        <f t="shared" si="42"/>
        <v/>
      </c>
      <c r="K960" s="98" t="str">
        <f t="shared" si="43"/>
        <v/>
      </c>
      <c r="L960" s="40" t="str">
        <f t="shared" si="44"/>
        <v/>
      </c>
    </row>
    <row r="961" spans="1:12" x14ac:dyDescent="0.25">
      <c r="A961" s="41"/>
      <c r="B961" s="41"/>
      <c r="C961" s="41"/>
      <c r="D961" s="41"/>
      <c r="E961" s="41"/>
      <c r="F961" s="83"/>
      <c r="G961" s="41"/>
      <c r="H961" s="48"/>
      <c r="I961" s="48"/>
      <c r="J961" s="41" t="str">
        <f t="shared" si="42"/>
        <v/>
      </c>
      <c r="K961" s="98" t="str">
        <f t="shared" si="43"/>
        <v/>
      </c>
      <c r="L961" s="40" t="str">
        <f t="shared" si="44"/>
        <v/>
      </c>
    </row>
    <row r="962" spans="1:12" x14ac:dyDescent="0.25">
      <c r="A962" s="41"/>
      <c r="B962" s="41"/>
      <c r="C962" s="41"/>
      <c r="D962" s="41"/>
      <c r="E962" s="41"/>
      <c r="F962" s="83"/>
      <c r="G962" s="41"/>
      <c r="H962" s="48"/>
      <c r="I962" s="48"/>
      <c r="J962" s="41" t="str">
        <f t="shared" si="42"/>
        <v/>
      </c>
      <c r="K962" s="98" t="str">
        <f t="shared" si="43"/>
        <v/>
      </c>
      <c r="L962" s="40" t="str">
        <f t="shared" si="44"/>
        <v/>
      </c>
    </row>
    <row r="963" spans="1:12" x14ac:dyDescent="0.25">
      <c r="A963" s="41"/>
      <c r="B963" s="41"/>
      <c r="C963" s="41"/>
      <c r="D963" s="41"/>
      <c r="E963" s="41"/>
      <c r="F963" s="83"/>
      <c r="G963" s="41"/>
      <c r="H963" s="48"/>
      <c r="I963" s="48"/>
      <c r="J963" s="41" t="str">
        <f t="shared" si="42"/>
        <v/>
      </c>
      <c r="K963" s="98" t="str">
        <f t="shared" si="43"/>
        <v/>
      </c>
      <c r="L963" s="40" t="str">
        <f t="shared" si="44"/>
        <v/>
      </c>
    </row>
    <row r="964" spans="1:12" x14ac:dyDescent="0.25">
      <c r="A964" s="41"/>
      <c r="B964" s="41"/>
      <c r="C964" s="41"/>
      <c r="D964" s="41"/>
      <c r="E964" s="41"/>
      <c r="F964" s="83"/>
      <c r="G964" s="41"/>
      <c r="H964" s="48"/>
      <c r="I964" s="48"/>
      <c r="J964" s="41" t="str">
        <f t="shared" si="42"/>
        <v/>
      </c>
      <c r="K964" s="98" t="str">
        <f t="shared" si="43"/>
        <v/>
      </c>
      <c r="L964" s="40" t="str">
        <f t="shared" si="44"/>
        <v/>
      </c>
    </row>
    <row r="965" spans="1:12" x14ac:dyDescent="0.25">
      <c r="A965" s="41"/>
      <c r="B965" s="41"/>
      <c r="C965" s="41"/>
      <c r="D965" s="41"/>
      <c r="E965" s="41"/>
      <c r="F965" s="83"/>
      <c r="G965" s="41"/>
      <c r="H965" s="48"/>
      <c r="I965" s="48"/>
      <c r="J965" s="41" t="str">
        <f t="shared" si="42"/>
        <v/>
      </c>
      <c r="K965" s="98" t="str">
        <f t="shared" si="43"/>
        <v/>
      </c>
      <c r="L965" s="40" t="str">
        <f t="shared" si="44"/>
        <v/>
      </c>
    </row>
    <row r="966" spans="1:12" x14ac:dyDescent="0.25">
      <c r="A966" s="41"/>
      <c r="B966" s="41"/>
      <c r="C966" s="41"/>
      <c r="D966" s="41"/>
      <c r="E966" s="41"/>
      <c r="F966" s="83"/>
      <c r="G966" s="41"/>
      <c r="H966" s="48"/>
      <c r="I966" s="48"/>
      <c r="J966" s="41" t="str">
        <f t="shared" si="42"/>
        <v/>
      </c>
      <c r="K966" s="98" t="str">
        <f t="shared" si="43"/>
        <v/>
      </c>
      <c r="L966" s="40" t="str">
        <f t="shared" si="44"/>
        <v/>
      </c>
    </row>
    <row r="967" spans="1:12" x14ac:dyDescent="0.25">
      <c r="A967" s="41"/>
      <c r="B967" s="41"/>
      <c r="C967" s="41"/>
      <c r="D967" s="41"/>
      <c r="E967" s="41"/>
      <c r="F967" s="83"/>
      <c r="G967" s="41"/>
      <c r="H967" s="48"/>
      <c r="I967" s="48"/>
      <c r="J967" s="41" t="str">
        <f t="shared" si="42"/>
        <v/>
      </c>
      <c r="K967" s="98" t="str">
        <f t="shared" si="43"/>
        <v/>
      </c>
      <c r="L967" s="40" t="str">
        <f t="shared" si="44"/>
        <v/>
      </c>
    </row>
    <row r="968" spans="1:12" x14ac:dyDescent="0.25">
      <c r="A968" s="41"/>
      <c r="B968" s="41"/>
      <c r="C968" s="41"/>
      <c r="D968" s="41"/>
      <c r="E968" s="41"/>
      <c r="F968" s="83"/>
      <c r="G968" s="41"/>
      <c r="H968" s="48"/>
      <c r="I968" s="48"/>
      <c r="J968" s="41" t="str">
        <f t="shared" si="42"/>
        <v/>
      </c>
      <c r="K968" s="98" t="str">
        <f t="shared" si="43"/>
        <v/>
      </c>
      <c r="L968" s="40" t="str">
        <f t="shared" si="44"/>
        <v/>
      </c>
    </row>
    <row r="969" spans="1:12" x14ac:dyDescent="0.25">
      <c r="A969" s="41"/>
      <c r="B969" s="41"/>
      <c r="C969" s="41"/>
      <c r="D969" s="41"/>
      <c r="E969" s="41"/>
      <c r="F969" s="83"/>
      <c r="G969" s="41"/>
      <c r="H969" s="48"/>
      <c r="I969" s="48"/>
      <c r="J969" s="41" t="str">
        <f t="shared" si="42"/>
        <v/>
      </c>
      <c r="K969" s="98" t="str">
        <f t="shared" si="43"/>
        <v/>
      </c>
      <c r="L969" s="40" t="str">
        <f t="shared" si="44"/>
        <v/>
      </c>
    </row>
    <row r="970" spans="1:12" x14ac:dyDescent="0.25">
      <c r="A970" s="41"/>
      <c r="B970" s="41"/>
      <c r="C970" s="41"/>
      <c r="D970" s="41"/>
      <c r="E970" s="41"/>
      <c r="F970" s="83"/>
      <c r="G970" s="41"/>
      <c r="H970" s="48"/>
      <c r="I970" s="48"/>
      <c r="J970" s="41" t="str">
        <f t="shared" ref="J970:J1008" si="45">IFERROR(IF(NOT(ISNUMBER(H970)),"",IF(I970="","ABSENT/NO-SUBMISSION",IF(I970&lt;K970,"No Improvement, Previous marks be assigned.", "Marks Improved"))),"")</f>
        <v/>
      </c>
      <c r="K970" s="98" t="str">
        <f t="shared" ref="K970:K1008" si="46">IFERROR(VALUE(MID(F970,6,FIND("%",F970)-6))*H970/100,"")</f>
        <v/>
      </c>
      <c r="L970" s="40" t="str">
        <f t="shared" ref="L970:L1008" si="47">IF(AND(G970&lt;&gt;"REPEAT COARSE",A970&lt;&gt;""),"CASE#"&amp; A970&amp;": "&amp;"It is to Inform that you have failed "&amp;E970&amp;" due to "&amp;F970&amp;" percentages. You are required to "&amp;VLOOKUP(G970,$AA$1:$AD$30,2,FALSE) &amp;" " &amp;G970&amp;VLOOKUP(G970,$AA$1:$AD$30,3,FALSE),IF(A970&lt;&gt;"","CASE#"&amp; A970&amp;": "&amp;"It is to Inform that you have failed "&amp;E970&amp;" due to "&amp;F970&amp;" percentages. You are required to  "&amp;G970&amp;" next time if you are interested to imporve this CLO.",""))</f>
        <v/>
      </c>
    </row>
    <row r="971" spans="1:12" x14ac:dyDescent="0.25">
      <c r="A971" s="41"/>
      <c r="B971" s="41"/>
      <c r="C971" s="41"/>
      <c r="D971" s="41"/>
      <c r="E971" s="41"/>
      <c r="F971" s="83"/>
      <c r="G971" s="41"/>
      <c r="H971" s="48"/>
      <c r="I971" s="48"/>
      <c r="J971" s="41" t="str">
        <f t="shared" si="45"/>
        <v/>
      </c>
      <c r="K971" s="98" t="str">
        <f t="shared" si="46"/>
        <v/>
      </c>
      <c r="L971" s="40" t="str">
        <f t="shared" si="47"/>
        <v/>
      </c>
    </row>
    <row r="972" spans="1:12" x14ac:dyDescent="0.25">
      <c r="A972" s="41"/>
      <c r="B972" s="41"/>
      <c r="C972" s="41"/>
      <c r="D972" s="41"/>
      <c r="E972" s="41"/>
      <c r="F972" s="83"/>
      <c r="G972" s="41"/>
      <c r="H972" s="48"/>
      <c r="I972" s="48"/>
      <c r="J972" s="41" t="str">
        <f t="shared" si="45"/>
        <v/>
      </c>
      <c r="K972" s="98" t="str">
        <f t="shared" si="46"/>
        <v/>
      </c>
      <c r="L972" s="40" t="str">
        <f t="shared" si="47"/>
        <v/>
      </c>
    </row>
    <row r="973" spans="1:12" x14ac:dyDescent="0.25">
      <c r="A973" s="41"/>
      <c r="B973" s="41"/>
      <c r="C973" s="41"/>
      <c r="D973" s="41"/>
      <c r="E973" s="41"/>
      <c r="F973" s="83"/>
      <c r="G973" s="41"/>
      <c r="H973" s="48"/>
      <c r="I973" s="48"/>
      <c r="J973" s="41" t="str">
        <f t="shared" si="45"/>
        <v/>
      </c>
      <c r="K973" s="98" t="str">
        <f t="shared" si="46"/>
        <v/>
      </c>
      <c r="L973" s="40" t="str">
        <f t="shared" si="47"/>
        <v/>
      </c>
    </row>
    <row r="974" spans="1:12" x14ac:dyDescent="0.25">
      <c r="A974" s="41"/>
      <c r="B974" s="41"/>
      <c r="C974" s="41"/>
      <c r="D974" s="41"/>
      <c r="E974" s="41"/>
      <c r="F974" s="83"/>
      <c r="G974" s="41"/>
      <c r="H974" s="48"/>
      <c r="I974" s="48"/>
      <c r="J974" s="41" t="str">
        <f t="shared" si="45"/>
        <v/>
      </c>
      <c r="K974" s="98" t="str">
        <f t="shared" si="46"/>
        <v/>
      </c>
      <c r="L974" s="40" t="str">
        <f t="shared" si="47"/>
        <v/>
      </c>
    </row>
    <row r="975" spans="1:12" x14ac:dyDescent="0.25">
      <c r="A975" s="41"/>
      <c r="B975" s="41"/>
      <c r="C975" s="41"/>
      <c r="D975" s="41"/>
      <c r="E975" s="41"/>
      <c r="F975" s="83"/>
      <c r="G975" s="41"/>
      <c r="H975" s="48"/>
      <c r="I975" s="48"/>
      <c r="J975" s="41" t="str">
        <f t="shared" si="45"/>
        <v/>
      </c>
      <c r="K975" s="98" t="str">
        <f t="shared" si="46"/>
        <v/>
      </c>
      <c r="L975" s="40" t="str">
        <f t="shared" si="47"/>
        <v/>
      </c>
    </row>
    <row r="976" spans="1:12" x14ac:dyDescent="0.25">
      <c r="A976" s="41"/>
      <c r="B976" s="41"/>
      <c r="C976" s="41"/>
      <c r="D976" s="41"/>
      <c r="E976" s="41"/>
      <c r="F976" s="83"/>
      <c r="G976" s="41"/>
      <c r="H976" s="48"/>
      <c r="I976" s="48"/>
      <c r="J976" s="41" t="str">
        <f t="shared" si="45"/>
        <v/>
      </c>
      <c r="K976" s="98" t="str">
        <f t="shared" si="46"/>
        <v/>
      </c>
      <c r="L976" s="40" t="str">
        <f t="shared" si="47"/>
        <v/>
      </c>
    </row>
    <row r="977" spans="1:12" x14ac:dyDescent="0.25">
      <c r="A977" s="41"/>
      <c r="B977" s="41"/>
      <c r="C977" s="41"/>
      <c r="D977" s="41"/>
      <c r="E977" s="41"/>
      <c r="F977" s="83"/>
      <c r="G977" s="41"/>
      <c r="H977" s="48"/>
      <c r="I977" s="48"/>
      <c r="J977" s="41" t="str">
        <f t="shared" si="45"/>
        <v/>
      </c>
      <c r="K977" s="98" t="str">
        <f t="shared" si="46"/>
        <v/>
      </c>
      <c r="L977" s="40" t="str">
        <f t="shared" si="47"/>
        <v/>
      </c>
    </row>
    <row r="978" spans="1:12" x14ac:dyDescent="0.25">
      <c r="A978" s="41"/>
      <c r="B978" s="41"/>
      <c r="C978" s="41"/>
      <c r="D978" s="41"/>
      <c r="E978" s="41"/>
      <c r="F978" s="83"/>
      <c r="G978" s="41"/>
      <c r="H978" s="48"/>
      <c r="I978" s="48"/>
      <c r="J978" s="41" t="str">
        <f t="shared" si="45"/>
        <v/>
      </c>
      <c r="K978" s="98" t="str">
        <f t="shared" si="46"/>
        <v/>
      </c>
      <c r="L978" s="40" t="str">
        <f t="shared" si="47"/>
        <v/>
      </c>
    </row>
    <row r="979" spans="1:12" x14ac:dyDescent="0.25">
      <c r="A979" s="41"/>
      <c r="B979" s="41"/>
      <c r="C979" s="41"/>
      <c r="D979" s="41"/>
      <c r="E979" s="41"/>
      <c r="F979" s="83"/>
      <c r="G979" s="41"/>
      <c r="H979" s="48"/>
      <c r="I979" s="48"/>
      <c r="J979" s="41" t="str">
        <f t="shared" si="45"/>
        <v/>
      </c>
      <c r="K979" s="98" t="str">
        <f t="shared" si="46"/>
        <v/>
      </c>
      <c r="L979" s="40" t="str">
        <f t="shared" si="47"/>
        <v/>
      </c>
    </row>
    <row r="980" spans="1:12" x14ac:dyDescent="0.25">
      <c r="A980" s="41"/>
      <c r="B980" s="41"/>
      <c r="C980" s="41"/>
      <c r="D980" s="41"/>
      <c r="E980" s="41"/>
      <c r="F980" s="83"/>
      <c r="G980" s="41"/>
      <c r="H980" s="48"/>
      <c r="I980" s="48"/>
      <c r="J980" s="41" t="str">
        <f t="shared" si="45"/>
        <v/>
      </c>
      <c r="K980" s="98" t="str">
        <f t="shared" si="46"/>
        <v/>
      </c>
      <c r="L980" s="40" t="str">
        <f t="shared" si="47"/>
        <v/>
      </c>
    </row>
    <row r="981" spans="1:12" x14ac:dyDescent="0.25">
      <c r="A981" s="41"/>
      <c r="B981" s="41"/>
      <c r="C981" s="41"/>
      <c r="D981" s="41"/>
      <c r="E981" s="41"/>
      <c r="F981" s="83"/>
      <c r="G981" s="41"/>
      <c r="H981" s="48"/>
      <c r="I981" s="48"/>
      <c r="J981" s="41" t="str">
        <f t="shared" si="45"/>
        <v/>
      </c>
      <c r="K981" s="98" t="str">
        <f t="shared" si="46"/>
        <v/>
      </c>
      <c r="L981" s="40" t="str">
        <f t="shared" si="47"/>
        <v/>
      </c>
    </row>
    <row r="982" spans="1:12" x14ac:dyDescent="0.25">
      <c r="A982" s="41"/>
      <c r="B982" s="41"/>
      <c r="C982" s="41"/>
      <c r="D982" s="41"/>
      <c r="E982" s="41"/>
      <c r="F982" s="83"/>
      <c r="G982" s="41"/>
      <c r="H982" s="48"/>
      <c r="I982" s="48"/>
      <c r="J982" s="41" t="str">
        <f t="shared" si="45"/>
        <v/>
      </c>
      <c r="K982" s="98" t="str">
        <f t="shared" si="46"/>
        <v/>
      </c>
      <c r="L982" s="40" t="str">
        <f t="shared" si="47"/>
        <v/>
      </c>
    </row>
    <row r="983" spans="1:12" x14ac:dyDescent="0.25">
      <c r="A983" s="41"/>
      <c r="B983" s="41"/>
      <c r="C983" s="41"/>
      <c r="D983" s="41"/>
      <c r="E983" s="41"/>
      <c r="F983" s="83"/>
      <c r="G983" s="41"/>
      <c r="H983" s="48"/>
      <c r="I983" s="48"/>
      <c r="J983" s="41" t="str">
        <f t="shared" si="45"/>
        <v/>
      </c>
      <c r="K983" s="98" t="str">
        <f t="shared" si="46"/>
        <v/>
      </c>
      <c r="L983" s="40" t="str">
        <f t="shared" si="47"/>
        <v/>
      </c>
    </row>
    <row r="984" spans="1:12" x14ac:dyDescent="0.25">
      <c r="A984" s="41"/>
      <c r="B984" s="41"/>
      <c r="C984" s="41"/>
      <c r="D984" s="41"/>
      <c r="E984" s="41"/>
      <c r="F984" s="83"/>
      <c r="G984" s="41"/>
      <c r="H984" s="48"/>
      <c r="I984" s="48"/>
      <c r="J984" s="41" t="str">
        <f t="shared" si="45"/>
        <v/>
      </c>
      <c r="K984" s="98" t="str">
        <f t="shared" si="46"/>
        <v/>
      </c>
      <c r="L984" s="40" t="str">
        <f t="shared" si="47"/>
        <v/>
      </c>
    </row>
    <row r="985" spans="1:12" x14ac:dyDescent="0.25">
      <c r="A985" s="41"/>
      <c r="B985" s="41"/>
      <c r="C985" s="41"/>
      <c r="D985" s="41"/>
      <c r="E985" s="41"/>
      <c r="F985" s="83"/>
      <c r="G985" s="41"/>
      <c r="H985" s="48"/>
      <c r="I985" s="48"/>
      <c r="J985" s="41" t="str">
        <f t="shared" si="45"/>
        <v/>
      </c>
      <c r="K985" s="98" t="str">
        <f t="shared" si="46"/>
        <v/>
      </c>
      <c r="L985" s="40" t="str">
        <f t="shared" si="47"/>
        <v/>
      </c>
    </row>
    <row r="986" spans="1:12" x14ac:dyDescent="0.25">
      <c r="A986" s="41"/>
      <c r="B986" s="41"/>
      <c r="C986" s="41"/>
      <c r="D986" s="41"/>
      <c r="E986" s="41"/>
      <c r="F986" s="83"/>
      <c r="G986" s="41"/>
      <c r="H986" s="48"/>
      <c r="I986" s="48"/>
      <c r="J986" s="41" t="str">
        <f t="shared" si="45"/>
        <v/>
      </c>
      <c r="K986" s="98" t="str">
        <f t="shared" si="46"/>
        <v/>
      </c>
      <c r="L986" s="40" t="str">
        <f t="shared" si="47"/>
        <v/>
      </c>
    </row>
    <row r="987" spans="1:12" x14ac:dyDescent="0.25">
      <c r="A987" s="41"/>
      <c r="B987" s="41"/>
      <c r="C987" s="41"/>
      <c r="D987" s="41"/>
      <c r="E987" s="41"/>
      <c r="F987" s="83"/>
      <c r="G987" s="41"/>
      <c r="H987" s="48"/>
      <c r="I987" s="48"/>
      <c r="J987" s="41" t="str">
        <f t="shared" si="45"/>
        <v/>
      </c>
      <c r="K987" s="98" t="str">
        <f t="shared" si="46"/>
        <v/>
      </c>
      <c r="L987" s="40" t="str">
        <f t="shared" si="47"/>
        <v/>
      </c>
    </row>
    <row r="988" spans="1:12" x14ac:dyDescent="0.25">
      <c r="A988" s="41"/>
      <c r="B988" s="41"/>
      <c r="C988" s="41"/>
      <c r="D988" s="41"/>
      <c r="E988" s="41"/>
      <c r="F988" s="83"/>
      <c r="G988" s="41"/>
      <c r="H988" s="48"/>
      <c r="I988" s="48"/>
      <c r="J988" s="41" t="str">
        <f t="shared" si="45"/>
        <v/>
      </c>
      <c r="K988" s="98" t="str">
        <f t="shared" si="46"/>
        <v/>
      </c>
      <c r="L988" s="40" t="str">
        <f t="shared" si="47"/>
        <v/>
      </c>
    </row>
    <row r="989" spans="1:12" x14ac:dyDescent="0.25">
      <c r="A989" s="41"/>
      <c r="B989" s="41"/>
      <c r="C989" s="41"/>
      <c r="D989" s="41"/>
      <c r="E989" s="41"/>
      <c r="F989" s="83"/>
      <c r="G989" s="41"/>
      <c r="H989" s="48"/>
      <c r="I989" s="48"/>
      <c r="J989" s="41" t="str">
        <f t="shared" si="45"/>
        <v/>
      </c>
      <c r="K989" s="98" t="str">
        <f t="shared" si="46"/>
        <v/>
      </c>
      <c r="L989" s="40" t="str">
        <f t="shared" si="47"/>
        <v/>
      </c>
    </row>
    <row r="990" spans="1:12" x14ac:dyDescent="0.25">
      <c r="A990" s="41"/>
      <c r="B990" s="41"/>
      <c r="C990" s="41"/>
      <c r="D990" s="41"/>
      <c r="E990" s="41"/>
      <c r="F990" s="83"/>
      <c r="G990" s="41"/>
      <c r="H990" s="48"/>
      <c r="I990" s="48"/>
      <c r="J990" s="41" t="str">
        <f t="shared" si="45"/>
        <v/>
      </c>
      <c r="K990" s="98" t="str">
        <f t="shared" si="46"/>
        <v/>
      </c>
      <c r="L990" s="40" t="str">
        <f t="shared" si="47"/>
        <v/>
      </c>
    </row>
    <row r="991" spans="1:12" x14ac:dyDescent="0.25">
      <c r="A991" s="41"/>
      <c r="B991" s="41"/>
      <c r="C991" s="41"/>
      <c r="D991" s="41"/>
      <c r="E991" s="41"/>
      <c r="F991" s="83"/>
      <c r="G991" s="41"/>
      <c r="H991" s="48"/>
      <c r="I991" s="48"/>
      <c r="J991" s="41" t="str">
        <f t="shared" si="45"/>
        <v/>
      </c>
      <c r="K991" s="98" t="str">
        <f t="shared" si="46"/>
        <v/>
      </c>
      <c r="L991" s="40" t="str">
        <f t="shared" si="47"/>
        <v/>
      </c>
    </row>
    <row r="992" spans="1:12" x14ac:dyDescent="0.25">
      <c r="A992" s="41"/>
      <c r="B992" s="41"/>
      <c r="C992" s="41"/>
      <c r="D992" s="41"/>
      <c r="E992" s="41"/>
      <c r="F992" s="83"/>
      <c r="G992" s="41"/>
      <c r="H992" s="48"/>
      <c r="I992" s="48"/>
      <c r="J992" s="41" t="str">
        <f t="shared" si="45"/>
        <v/>
      </c>
      <c r="K992" s="98" t="str">
        <f t="shared" si="46"/>
        <v/>
      </c>
      <c r="L992" s="40" t="str">
        <f t="shared" si="47"/>
        <v/>
      </c>
    </row>
    <row r="993" spans="1:12" x14ac:dyDescent="0.25">
      <c r="A993" s="41"/>
      <c r="B993" s="41"/>
      <c r="C993" s="41"/>
      <c r="D993" s="41"/>
      <c r="E993" s="41"/>
      <c r="F993" s="83"/>
      <c r="G993" s="41"/>
      <c r="H993" s="48"/>
      <c r="I993" s="48"/>
      <c r="J993" s="41" t="str">
        <f t="shared" si="45"/>
        <v/>
      </c>
      <c r="K993" s="98" t="str">
        <f t="shared" si="46"/>
        <v/>
      </c>
      <c r="L993" s="40" t="str">
        <f t="shared" si="47"/>
        <v/>
      </c>
    </row>
    <row r="994" spans="1:12" x14ac:dyDescent="0.25">
      <c r="A994" s="41"/>
      <c r="B994" s="41"/>
      <c r="C994" s="41"/>
      <c r="D994" s="41"/>
      <c r="E994" s="41"/>
      <c r="F994" s="83"/>
      <c r="G994" s="41"/>
      <c r="H994" s="48"/>
      <c r="I994" s="48"/>
      <c r="J994" s="41" t="str">
        <f t="shared" si="45"/>
        <v/>
      </c>
      <c r="K994" s="98" t="str">
        <f t="shared" si="46"/>
        <v/>
      </c>
      <c r="L994" s="40" t="str">
        <f t="shared" si="47"/>
        <v/>
      </c>
    </row>
    <row r="995" spans="1:12" x14ac:dyDescent="0.25">
      <c r="A995" s="41"/>
      <c r="B995" s="41"/>
      <c r="C995" s="41"/>
      <c r="D995" s="41"/>
      <c r="E995" s="41"/>
      <c r="F995" s="83"/>
      <c r="G995" s="41"/>
      <c r="H995" s="48"/>
      <c r="I995" s="48"/>
      <c r="J995" s="41" t="str">
        <f t="shared" si="45"/>
        <v/>
      </c>
      <c r="K995" s="98" t="str">
        <f t="shared" si="46"/>
        <v/>
      </c>
      <c r="L995" s="40" t="str">
        <f t="shared" si="47"/>
        <v/>
      </c>
    </row>
    <row r="996" spans="1:12" x14ac:dyDescent="0.25">
      <c r="A996" s="41"/>
      <c r="B996" s="41"/>
      <c r="C996" s="41"/>
      <c r="D996" s="41"/>
      <c r="E996" s="41"/>
      <c r="F996" s="83"/>
      <c r="G996" s="41"/>
      <c r="H996" s="48"/>
      <c r="I996" s="48"/>
      <c r="J996" s="41" t="str">
        <f t="shared" si="45"/>
        <v/>
      </c>
      <c r="K996" s="98" t="str">
        <f t="shared" si="46"/>
        <v/>
      </c>
      <c r="L996" s="40" t="str">
        <f t="shared" si="47"/>
        <v/>
      </c>
    </row>
    <row r="997" spans="1:12" x14ac:dyDescent="0.25">
      <c r="A997" s="41"/>
      <c r="B997" s="41"/>
      <c r="C997" s="41"/>
      <c r="D997" s="41"/>
      <c r="E997" s="41"/>
      <c r="F997" s="83"/>
      <c r="G997" s="41"/>
      <c r="H997" s="48"/>
      <c r="I997" s="48"/>
      <c r="J997" s="41" t="str">
        <f t="shared" si="45"/>
        <v/>
      </c>
      <c r="K997" s="98" t="str">
        <f t="shared" si="46"/>
        <v/>
      </c>
      <c r="L997" s="40" t="str">
        <f t="shared" si="47"/>
        <v/>
      </c>
    </row>
    <row r="998" spans="1:12" x14ac:dyDescent="0.25">
      <c r="A998" s="41"/>
      <c r="B998" s="41"/>
      <c r="C998" s="41"/>
      <c r="D998" s="41"/>
      <c r="E998" s="41"/>
      <c r="F998" s="83"/>
      <c r="G998" s="41"/>
      <c r="H998" s="48"/>
      <c r="I998" s="48"/>
      <c r="J998" s="41" t="str">
        <f t="shared" si="45"/>
        <v/>
      </c>
      <c r="K998" s="98" t="str">
        <f t="shared" si="46"/>
        <v/>
      </c>
      <c r="L998" s="40" t="str">
        <f t="shared" si="47"/>
        <v/>
      </c>
    </row>
    <row r="999" spans="1:12" x14ac:dyDescent="0.25">
      <c r="A999" s="41"/>
      <c r="B999" s="41"/>
      <c r="C999" s="41"/>
      <c r="D999" s="41"/>
      <c r="E999" s="41"/>
      <c r="F999" s="83"/>
      <c r="G999" s="41"/>
      <c r="H999" s="48"/>
      <c r="I999" s="48"/>
      <c r="J999" s="41" t="str">
        <f t="shared" si="45"/>
        <v/>
      </c>
      <c r="K999" s="98" t="str">
        <f t="shared" si="46"/>
        <v/>
      </c>
      <c r="L999" s="40" t="str">
        <f t="shared" si="47"/>
        <v/>
      </c>
    </row>
    <row r="1000" spans="1:12" x14ac:dyDescent="0.25">
      <c r="A1000" s="41"/>
      <c r="B1000" s="41"/>
      <c r="C1000" s="41"/>
      <c r="D1000" s="41"/>
      <c r="E1000" s="41"/>
      <c r="F1000" s="83"/>
      <c r="G1000" s="41"/>
      <c r="H1000" s="48"/>
      <c r="I1000" s="48"/>
      <c r="J1000" s="41" t="str">
        <f t="shared" si="45"/>
        <v/>
      </c>
      <c r="K1000" s="98" t="str">
        <f t="shared" si="46"/>
        <v/>
      </c>
      <c r="L1000" s="40" t="str">
        <f t="shared" si="47"/>
        <v/>
      </c>
    </row>
    <row r="1001" spans="1:12" x14ac:dyDescent="0.25">
      <c r="A1001" s="41"/>
      <c r="B1001" s="41"/>
      <c r="C1001" s="41"/>
      <c r="D1001" s="41"/>
      <c r="E1001" s="41"/>
      <c r="F1001" s="83"/>
      <c r="G1001" s="41"/>
      <c r="H1001" s="48"/>
      <c r="I1001" s="48"/>
      <c r="J1001" s="41" t="str">
        <f t="shared" si="45"/>
        <v/>
      </c>
      <c r="K1001" s="98" t="str">
        <f t="shared" si="46"/>
        <v/>
      </c>
      <c r="L1001" s="40" t="str">
        <f t="shared" si="47"/>
        <v/>
      </c>
    </row>
    <row r="1002" spans="1:12" x14ac:dyDescent="0.25">
      <c r="A1002" s="41"/>
      <c r="B1002" s="41"/>
      <c r="C1002" s="41"/>
      <c r="D1002" s="41"/>
      <c r="E1002" s="41"/>
      <c r="F1002" s="83"/>
      <c r="G1002" s="41"/>
      <c r="H1002" s="48"/>
      <c r="I1002" s="48"/>
      <c r="J1002" s="41" t="str">
        <f t="shared" si="45"/>
        <v/>
      </c>
      <c r="K1002" s="98" t="str">
        <f t="shared" si="46"/>
        <v/>
      </c>
      <c r="L1002" s="40" t="str">
        <f t="shared" si="47"/>
        <v/>
      </c>
    </row>
    <row r="1003" spans="1:12" x14ac:dyDescent="0.25">
      <c r="A1003" s="41"/>
      <c r="B1003" s="41"/>
      <c r="C1003" s="41"/>
      <c r="D1003" s="41"/>
      <c r="E1003" s="41"/>
      <c r="F1003" s="83"/>
      <c r="G1003" s="41"/>
      <c r="H1003" s="48"/>
      <c r="I1003" s="48"/>
      <c r="J1003" s="41" t="str">
        <f t="shared" si="45"/>
        <v/>
      </c>
      <c r="K1003" s="98" t="str">
        <f t="shared" si="46"/>
        <v/>
      </c>
      <c r="L1003" s="40" t="str">
        <f t="shared" si="47"/>
        <v/>
      </c>
    </row>
    <row r="1004" spans="1:12" x14ac:dyDescent="0.25">
      <c r="A1004" s="41"/>
      <c r="B1004" s="41"/>
      <c r="C1004" s="41"/>
      <c r="D1004" s="41"/>
      <c r="E1004" s="41"/>
      <c r="F1004" s="83"/>
      <c r="G1004" s="41"/>
      <c r="H1004" s="48"/>
      <c r="I1004" s="48"/>
      <c r="J1004" s="41" t="str">
        <f t="shared" si="45"/>
        <v/>
      </c>
      <c r="K1004" s="98" t="str">
        <f t="shared" si="46"/>
        <v/>
      </c>
      <c r="L1004" s="40" t="str">
        <f t="shared" si="47"/>
        <v/>
      </c>
    </row>
    <row r="1005" spans="1:12" x14ac:dyDescent="0.25">
      <c r="A1005" s="41"/>
      <c r="B1005" s="41"/>
      <c r="C1005" s="41"/>
      <c r="D1005" s="41"/>
      <c r="E1005" s="41"/>
      <c r="F1005" s="83"/>
      <c r="G1005" s="41"/>
      <c r="H1005" s="48"/>
      <c r="I1005" s="48"/>
      <c r="J1005" s="41" t="str">
        <f t="shared" si="45"/>
        <v/>
      </c>
      <c r="K1005" s="98" t="str">
        <f t="shared" si="46"/>
        <v/>
      </c>
      <c r="L1005" s="40" t="str">
        <f t="shared" si="47"/>
        <v/>
      </c>
    </row>
    <row r="1006" spans="1:12" x14ac:dyDescent="0.25">
      <c r="A1006" s="41"/>
      <c r="B1006" s="41"/>
      <c r="C1006" s="41"/>
      <c r="D1006" s="41"/>
      <c r="E1006" s="41"/>
      <c r="F1006" s="83"/>
      <c r="G1006" s="41"/>
      <c r="H1006" s="48"/>
      <c r="I1006" s="48"/>
      <c r="J1006" s="41" t="str">
        <f t="shared" si="45"/>
        <v/>
      </c>
      <c r="K1006" s="98" t="str">
        <f t="shared" si="46"/>
        <v/>
      </c>
      <c r="L1006" s="40" t="str">
        <f t="shared" si="47"/>
        <v/>
      </c>
    </row>
    <row r="1007" spans="1:12" x14ac:dyDescent="0.25">
      <c r="A1007" s="41"/>
      <c r="B1007" s="41"/>
      <c r="C1007" s="41"/>
      <c r="D1007" s="41"/>
      <c r="E1007" s="41"/>
      <c r="F1007" s="83"/>
      <c r="G1007" s="41"/>
      <c r="H1007" s="48"/>
      <c r="I1007" s="48"/>
      <c r="J1007" s="41" t="str">
        <f t="shared" si="45"/>
        <v/>
      </c>
      <c r="K1007" s="98" t="str">
        <f t="shared" si="46"/>
        <v/>
      </c>
      <c r="L1007" s="40" t="str">
        <f t="shared" si="47"/>
        <v/>
      </c>
    </row>
    <row r="1008" spans="1:12" x14ac:dyDescent="0.25">
      <c r="A1008" s="41"/>
      <c r="B1008" s="41"/>
      <c r="C1008" s="41"/>
      <c r="D1008" s="41"/>
      <c r="E1008" s="41"/>
      <c r="F1008" s="83"/>
      <c r="G1008" s="41"/>
      <c r="H1008" s="48"/>
      <c r="I1008" s="48"/>
      <c r="J1008" s="41" t="str">
        <f t="shared" si="45"/>
        <v/>
      </c>
      <c r="K1008" s="98" t="str">
        <f t="shared" si="46"/>
        <v/>
      </c>
      <c r="L1008" s="40" t="str">
        <f t="shared" si="47"/>
        <v/>
      </c>
    </row>
    <row r="1009" spans="8:9" x14ac:dyDescent="0.25">
      <c r="H1009" s="46"/>
      <c r="I1009" s="46"/>
    </row>
  </sheetData>
  <sortState xmlns:xlrd2="http://schemas.microsoft.com/office/spreadsheetml/2017/richdata2" ref="A9:J1000">
    <sortCondition ref="G9:G1000"/>
  </sortState>
  <mergeCells count="9">
    <mergeCell ref="E6:F6"/>
    <mergeCell ref="E7:F7"/>
    <mergeCell ref="A1:F1"/>
    <mergeCell ref="G1:J1"/>
    <mergeCell ref="A2:F2"/>
    <mergeCell ref="A3:F3"/>
    <mergeCell ref="A4:F4"/>
    <mergeCell ref="A5:F5"/>
    <mergeCell ref="H6:I7"/>
  </mergeCells>
  <conditionalFormatting sqref="A9:J9 A10:I1000 J10:J1008">
    <cfRule type="expression" dxfId="43" priority="7">
      <formula>FIND("REPE",$G9)</formula>
    </cfRule>
    <cfRule type="expression" dxfId="42" priority="8">
      <formula>FIND("CLO5",$G9)</formula>
    </cfRule>
    <cfRule type="expression" dxfId="41" priority="9">
      <formula>FIND("CLO4",$G9)</formula>
    </cfRule>
    <cfRule type="expression" dxfId="40" priority="10">
      <formula>FIND("CLO3",$G9)</formula>
    </cfRule>
    <cfRule type="expression" dxfId="39" priority="11">
      <formula>FIND("CLO2",$G9)</formula>
    </cfRule>
    <cfRule type="expression" dxfId="38" priority="12">
      <formula>FIND("CLO1",$G9)</formula>
    </cfRule>
  </conditionalFormatting>
  <conditionalFormatting sqref="AA1">
    <cfRule type="expression" dxfId="37" priority="1">
      <formula>FIND("REPE",$G1)</formula>
    </cfRule>
    <cfRule type="expression" dxfId="36" priority="2">
      <formula>FIND("CLO5",$G1)</formula>
    </cfRule>
    <cfRule type="expression" dxfId="35" priority="3">
      <formula>FIND("CLO4",$G1)</formula>
    </cfRule>
    <cfRule type="expression" dxfId="34" priority="4">
      <formula>FIND("CLO3",$G1)</formula>
    </cfRule>
    <cfRule type="expression" dxfId="33" priority="5">
      <formula>FIND("CLO2",$G1)</formula>
    </cfRule>
    <cfRule type="expression" dxfId="32" priority="6">
      <formula>FIND("CLO1",$G1)</formula>
    </cfRule>
  </conditionalFormatting>
  <dataValidations count="1">
    <dataValidation type="list" allowBlank="1" showErrorMessage="1" error="Select value from Dropdown please." sqref="G9:G1008" xr:uid="{EAAE7578-329A-4A23-905E-7B97DD384571}">
      <formula1>$AA$1:$AA$27</formula1>
    </dataValidation>
  </dataValidations>
  <pageMargins left="0.70866141732283505" right="0.70866141732283505" top="0.74803149606299202" bottom="0.74803149606299202" header="0.31496062992126" footer="0.31496062992126"/>
  <pageSetup paperSize="9" scale="56" fitToHeight="0" orientation="portrait" cellComments="atEnd" horizontalDpi="4294967295" verticalDpi="4294967295"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F951-BF88-4420-8BFA-8DBDAC1A9A7C}">
  <sheetPr codeName="Sheet3"/>
  <dimension ref="A1:Z89"/>
  <sheetViews>
    <sheetView view="pageBreakPreview" topLeftCell="A9" zoomScale="110" zoomScaleNormal="100" zoomScaleSheetLayoutView="110" workbookViewId="0">
      <selection activeCell="A23" sqref="A23:H26"/>
    </sheetView>
  </sheetViews>
  <sheetFormatPr defaultRowHeight="14.4" x14ac:dyDescent="0.3"/>
  <cols>
    <col min="5" max="5" width="10.6640625" customWidth="1"/>
    <col min="6" max="6" width="15.109375" bestFit="1" customWidth="1"/>
  </cols>
  <sheetData>
    <row r="1" spans="1:26" ht="24" x14ac:dyDescent="0.3">
      <c r="A1" s="137" t="s">
        <v>610</v>
      </c>
      <c r="B1" s="137"/>
      <c r="C1" s="137"/>
      <c r="D1" s="137"/>
      <c r="E1" s="137"/>
      <c r="F1" s="137"/>
      <c r="G1" s="137"/>
      <c r="H1" s="137"/>
      <c r="Z1" t="s">
        <v>684</v>
      </c>
    </row>
    <row r="2" spans="1:26" ht="15.6" x14ac:dyDescent="0.3">
      <c r="A2" s="138" t="s">
        <v>611</v>
      </c>
      <c r="B2" s="138"/>
      <c r="C2" s="138"/>
      <c r="D2" s="138"/>
      <c r="E2" s="138"/>
      <c r="F2" s="138"/>
      <c r="G2" s="138"/>
      <c r="H2" s="138"/>
    </row>
    <row r="3" spans="1:26" ht="15" thickBot="1" x14ac:dyDescent="0.35">
      <c r="A3" s="69"/>
      <c r="B3" s="69"/>
      <c r="C3" s="78" t="s">
        <v>683</v>
      </c>
      <c r="D3" s="78"/>
      <c r="E3" s="78" t="str">
        <f>Main!C9</f>
        <v>Dr. Qazi Samiullah</v>
      </c>
      <c r="F3" s="69"/>
      <c r="G3" s="69"/>
      <c r="H3" s="69"/>
    </row>
    <row r="4" spans="1:26" ht="60.9" customHeight="1" x14ac:dyDescent="0.3">
      <c r="A4" s="136" t="s">
        <v>612</v>
      </c>
      <c r="B4" s="136"/>
      <c r="C4" s="136"/>
      <c r="D4" s="136"/>
      <c r="E4" s="136"/>
      <c r="F4" s="136"/>
      <c r="G4" s="136"/>
      <c r="H4" s="136"/>
    </row>
    <row r="5" spans="1:26" x14ac:dyDescent="0.3">
      <c r="A5" s="49"/>
    </row>
    <row r="6" spans="1:26" x14ac:dyDescent="0.3">
      <c r="A6" s="139" t="s">
        <v>642</v>
      </c>
      <c r="B6" s="139"/>
      <c r="C6" s="139"/>
      <c r="D6" s="67" t="str">
        <f>Main!C4</f>
        <v>CE-117</v>
      </c>
    </row>
    <row r="7" spans="1:26" x14ac:dyDescent="0.3">
      <c r="A7" s="139" t="s">
        <v>643</v>
      </c>
      <c r="B7" s="139"/>
      <c r="C7" s="139"/>
      <c r="D7" s="67" t="str">
        <f>Main!C5</f>
        <v>Engineering Mechanics</v>
      </c>
    </row>
    <row r="8" spans="1:26" x14ac:dyDescent="0.3">
      <c r="A8" s="139" t="s">
        <v>644</v>
      </c>
      <c r="B8" s="139"/>
      <c r="C8" s="139"/>
      <c r="D8" s="67" t="str">
        <f>Main!C6</f>
        <v>5th</v>
      </c>
    </row>
    <row r="9" spans="1:26" x14ac:dyDescent="0.3">
      <c r="A9" s="139" t="s">
        <v>681</v>
      </c>
      <c r="B9" s="139"/>
      <c r="C9" s="139"/>
      <c r="D9" s="67" t="str">
        <f>Main!E9</f>
        <v>U,T,M</v>
      </c>
    </row>
    <row r="10" spans="1:26" x14ac:dyDescent="0.3">
      <c r="A10" s="139" t="s">
        <v>645</v>
      </c>
      <c r="B10" s="139"/>
      <c r="C10" s="139"/>
      <c r="D10" s="73"/>
    </row>
    <row r="11" spans="1:26" x14ac:dyDescent="0.3">
      <c r="A11" s="139" t="s">
        <v>646</v>
      </c>
      <c r="B11" s="139"/>
      <c r="C11" s="139"/>
      <c r="D11" s="68">
        <f ca="1">Main!E12</f>
        <v>0</v>
      </c>
    </row>
    <row r="12" spans="1:26" x14ac:dyDescent="0.3">
      <c r="A12" s="139" t="s">
        <v>613</v>
      </c>
      <c r="B12" s="139"/>
      <c r="C12" s="139"/>
      <c r="D12" s="67"/>
    </row>
    <row r="13" spans="1:26" ht="15" thickBot="1" x14ac:dyDescent="0.35">
      <c r="A13" s="132" t="s">
        <v>677</v>
      </c>
      <c r="B13" s="132"/>
      <c r="C13" s="132"/>
      <c r="D13" s="72"/>
      <c r="E13" s="72"/>
      <c r="F13" s="70" t="s">
        <v>682</v>
      </c>
    </row>
    <row r="14" spans="1:26" ht="15" thickBot="1" x14ac:dyDescent="0.35">
      <c r="A14" s="132" t="s">
        <v>678</v>
      </c>
      <c r="B14" s="132"/>
      <c r="C14" s="132"/>
      <c r="D14" s="72"/>
      <c r="E14" s="72"/>
      <c r="F14" s="70" t="s">
        <v>682</v>
      </c>
    </row>
    <row r="15" spans="1:26" ht="15" thickBot="1" x14ac:dyDescent="0.35">
      <c r="A15" s="132" t="s">
        <v>679</v>
      </c>
      <c r="B15" s="132"/>
      <c r="C15" s="132"/>
      <c r="D15" s="72"/>
      <c r="E15" s="72"/>
    </row>
    <row r="16" spans="1:26" ht="15" thickBot="1" x14ac:dyDescent="0.35">
      <c r="A16" s="132" t="s">
        <v>680</v>
      </c>
      <c r="B16" s="132"/>
      <c r="C16" s="132"/>
      <c r="D16" s="72"/>
      <c r="E16" s="72"/>
    </row>
    <row r="17" spans="1:8" ht="15" thickBot="1" x14ac:dyDescent="0.35">
      <c r="A17" s="139" t="s">
        <v>614</v>
      </c>
      <c r="B17" s="139"/>
      <c r="C17" s="139"/>
      <c r="D17" s="139"/>
      <c r="E17" s="139"/>
      <c r="F17" s="139"/>
      <c r="G17" s="139"/>
      <c r="H17" s="139"/>
    </row>
    <row r="18" spans="1:8" x14ac:dyDescent="0.3">
      <c r="A18" s="153" t="str">
        <f>IF(RIGHT(D6,1)="L","NA","")</f>
        <v/>
      </c>
      <c r="B18" s="154"/>
      <c r="C18" s="154"/>
      <c r="D18" s="154"/>
      <c r="E18" s="154"/>
      <c r="F18" s="154"/>
      <c r="G18" s="154"/>
      <c r="H18" s="155"/>
    </row>
    <row r="19" spans="1:8" x14ac:dyDescent="0.3">
      <c r="A19" s="156"/>
      <c r="B19" s="157"/>
      <c r="C19" s="157"/>
      <c r="D19" s="157"/>
      <c r="E19" s="157"/>
      <c r="F19" s="157"/>
      <c r="G19" s="157"/>
      <c r="H19" s="158"/>
    </row>
    <row r="20" spans="1:8" x14ac:dyDescent="0.3">
      <c r="A20" s="156"/>
      <c r="B20" s="157"/>
      <c r="C20" s="157"/>
      <c r="D20" s="157"/>
      <c r="E20" s="157"/>
      <c r="F20" s="157"/>
      <c r="G20" s="157"/>
      <c r="H20" s="158"/>
    </row>
    <row r="21" spans="1:8" ht="38.1" customHeight="1" thickBot="1" x14ac:dyDescent="0.35">
      <c r="A21" s="159"/>
      <c r="B21" s="160"/>
      <c r="C21" s="160"/>
      <c r="D21" s="160"/>
      <c r="E21" s="160"/>
      <c r="F21" s="160"/>
      <c r="G21" s="160"/>
      <c r="H21" s="161"/>
    </row>
    <row r="22" spans="1:8" ht="15" thickBot="1" x14ac:dyDescent="0.35">
      <c r="A22" s="139" t="s">
        <v>615</v>
      </c>
      <c r="B22" s="139"/>
      <c r="C22" s="139"/>
      <c r="D22" s="139"/>
      <c r="E22" s="139"/>
      <c r="F22" s="139"/>
      <c r="G22" s="139"/>
      <c r="H22" s="139"/>
    </row>
    <row r="23" spans="1:8" x14ac:dyDescent="0.3">
      <c r="A23" s="153" t="str">
        <f>IF(RIGHT(D6,1)="L","","NA")</f>
        <v>NA</v>
      </c>
      <c r="B23" s="154"/>
      <c r="C23" s="154"/>
      <c r="D23" s="154"/>
      <c r="E23" s="154"/>
      <c r="F23" s="154"/>
      <c r="G23" s="154"/>
      <c r="H23" s="155"/>
    </row>
    <row r="24" spans="1:8" x14ac:dyDescent="0.3">
      <c r="A24" s="156"/>
      <c r="B24" s="157"/>
      <c r="C24" s="157"/>
      <c r="D24" s="157"/>
      <c r="E24" s="157"/>
      <c r="F24" s="157"/>
      <c r="G24" s="157"/>
      <c r="H24" s="158"/>
    </row>
    <row r="25" spans="1:8" x14ac:dyDescent="0.3">
      <c r="A25" s="156"/>
      <c r="B25" s="157"/>
      <c r="C25" s="157"/>
      <c r="D25" s="157"/>
      <c r="E25" s="157"/>
      <c r="F25" s="157"/>
      <c r="G25" s="157"/>
      <c r="H25" s="158"/>
    </row>
    <row r="26" spans="1:8" ht="39" customHeight="1" thickBot="1" x14ac:dyDescent="0.35">
      <c r="A26" s="159"/>
      <c r="B26" s="160"/>
      <c r="C26" s="160"/>
      <c r="D26" s="160"/>
      <c r="E26" s="160"/>
      <c r="F26" s="160"/>
      <c r="G26" s="160"/>
      <c r="H26" s="161"/>
    </row>
    <row r="27" spans="1:8" x14ac:dyDescent="0.3">
      <c r="A27" s="139" t="s">
        <v>616</v>
      </c>
      <c r="B27" s="139"/>
      <c r="C27" s="139"/>
      <c r="D27" s="139"/>
      <c r="E27" s="139"/>
      <c r="F27" s="139"/>
      <c r="G27" s="68">
        <f ca="1">Main!C14</f>
        <v>3</v>
      </c>
    </row>
    <row r="28" spans="1:8" x14ac:dyDescent="0.3">
      <c r="A28" s="139" t="s">
        <v>647</v>
      </c>
      <c r="B28" s="139"/>
      <c r="C28" s="139"/>
      <c r="D28" s="139"/>
      <c r="E28" s="139"/>
      <c r="F28" s="139"/>
      <c r="G28" s="68" t="e">
        <f ca="1">INDIRECT("'"&amp;Z1&amp;"'!"&amp;"BP22")</f>
        <v>#REF!</v>
      </c>
    </row>
    <row r="29" spans="1:8" x14ac:dyDescent="0.3">
      <c r="A29" s="139" t="s">
        <v>648</v>
      </c>
      <c r="B29" s="139"/>
      <c r="C29" s="139"/>
      <c r="D29" s="139"/>
      <c r="E29" s="139"/>
      <c r="F29" s="139"/>
      <c r="G29" s="68">
        <f ca="1">Main!E14</f>
        <v>2</v>
      </c>
    </row>
    <row r="30" spans="1:8" x14ac:dyDescent="0.3">
      <c r="A30" s="139" t="s">
        <v>649</v>
      </c>
      <c r="B30" s="139"/>
      <c r="C30" s="139"/>
      <c r="D30" s="139"/>
      <c r="E30" s="139"/>
      <c r="F30" s="139"/>
      <c r="G30" s="68" t="e">
        <f ca="1">INDIRECT("'"&amp;Z1&amp;"'!"&amp;"BP21")</f>
        <v>#REF!</v>
      </c>
    </row>
    <row r="31" spans="1:8" x14ac:dyDescent="0.3">
      <c r="A31" s="56"/>
      <c r="B31" s="56"/>
      <c r="C31" s="56"/>
      <c r="D31" s="56"/>
      <c r="E31" s="56"/>
      <c r="F31" s="56"/>
    </row>
    <row r="32" spans="1:8" x14ac:dyDescent="0.3">
      <c r="A32" s="50" t="s">
        <v>617</v>
      </c>
    </row>
    <row r="33" spans="1:10" x14ac:dyDescent="0.3">
      <c r="A33" s="51"/>
    </row>
    <row r="34" spans="1:10" ht="66" x14ac:dyDescent="0.3">
      <c r="A34" s="58" t="s">
        <v>618</v>
      </c>
      <c r="B34" s="58" t="s">
        <v>619</v>
      </c>
      <c r="C34" s="58" t="s">
        <v>620</v>
      </c>
      <c r="D34" s="58" t="s">
        <v>621</v>
      </c>
      <c r="E34" s="58" t="s">
        <v>622</v>
      </c>
      <c r="F34" s="58" t="s">
        <v>623</v>
      </c>
      <c r="G34" s="143" t="s">
        <v>624</v>
      </c>
      <c r="H34" s="143"/>
    </row>
    <row r="35" spans="1:10" ht="26.4" x14ac:dyDescent="0.3">
      <c r="A35" s="58">
        <f ca="1">D11</f>
        <v>0</v>
      </c>
      <c r="B35" s="58" t="e">
        <f ca="1">INDIRECT("'"&amp;Z1&amp;"'!"&amp;"BT1")</f>
        <v>#REF!</v>
      </c>
      <c r="C35" s="58" t="e">
        <f ca="1">A35-D35</f>
        <v>#REF!</v>
      </c>
      <c r="D35" s="58" t="e">
        <f ca="1">INDIRECT("'"&amp;Z1&amp;"'!"&amp;"By14")</f>
        <v>#REF!</v>
      </c>
      <c r="E35" s="71"/>
      <c r="F35" s="57" t="s">
        <v>625</v>
      </c>
      <c r="G35" s="143" t="s">
        <v>626</v>
      </c>
      <c r="H35" s="143"/>
    </row>
    <row r="36" spans="1:10" ht="15" thickBot="1" x14ac:dyDescent="0.35">
      <c r="A36" s="50"/>
    </row>
    <row r="37" spans="1:10" ht="16.2" thickBot="1" x14ac:dyDescent="0.35">
      <c r="A37" s="52"/>
      <c r="B37" s="53" t="s">
        <v>373</v>
      </c>
      <c r="C37" s="53" t="s">
        <v>374</v>
      </c>
      <c r="D37" s="53" t="s">
        <v>375</v>
      </c>
      <c r="E37" s="53" t="s">
        <v>376</v>
      </c>
      <c r="F37" s="53" t="s">
        <v>377</v>
      </c>
      <c r="G37" s="53" t="s">
        <v>627</v>
      </c>
      <c r="H37" s="53" t="s">
        <v>372</v>
      </c>
    </row>
    <row r="38" spans="1:10" ht="15" thickBot="1" x14ac:dyDescent="0.35">
      <c r="A38" s="54" t="str">
        <f ca="1">Main!B16</f>
        <v>CLO 1</v>
      </c>
      <c r="B38" s="75" t="e">
        <f ca="1">IF(INDIRECT("'"&amp;$Z$1&amp;"'!"&amp;"BK"&amp; ROW()-36)="rem","",INDIRECT("'"&amp;$Z$1&amp;"'!"&amp;"BK"&amp; ROW()-36))</f>
        <v>#REF!</v>
      </c>
      <c r="C38" s="75" t="e">
        <f ca="1">IF(INDIRECT("'"&amp;$Z$1&amp;"'!"&amp;"BL"&amp; ROW()-36)="rem","",INDIRECT("'"&amp;$Z$1&amp;"'!"&amp;"BL"&amp; ROW()-36))</f>
        <v>#REF!</v>
      </c>
      <c r="D38" s="75" t="e">
        <f ca="1">IF(INDIRECT("'"&amp;$Z$1&amp;"'!"&amp;"BM"&amp; ROW()-36)="rem","",INDIRECT("'"&amp;$Z$1&amp;"'!"&amp;"BM"&amp; ROW()-36))</f>
        <v>#REF!</v>
      </c>
      <c r="E38" s="75" t="e">
        <f ca="1">IF(INDIRECT("'"&amp;$Z$1&amp;"'!"&amp;"BN"&amp; ROW()-36)="rem","",INDIRECT("'"&amp;$Z$1&amp;"'!"&amp;"BN"&amp; ROW()-36))</f>
        <v>#REF!</v>
      </c>
      <c r="F38" s="75" t="e">
        <f ca="1">IF(INDIRECT("'"&amp;$Z$1&amp;"'!"&amp;"BO"&amp; ROW()-36)="rem","",INDIRECT("'"&amp;$Z$1&amp;"'!"&amp;"BO"&amp; ROW()-36))</f>
        <v>#REF!</v>
      </c>
      <c r="G38" s="75" t="e">
        <f ca="1">IF(INDIRECT("'"&amp;$Z$1&amp;"'!"&amp;"BP"&amp; ROW()-36)="rem","",INDIRECT("'"&amp;$Z$1&amp;"'!"&amp;"BP"&amp; ROW()-36))</f>
        <v>#REF!</v>
      </c>
      <c r="H38" s="55" t="e">
        <f ca="1">IF(INDIRECT("'"&amp;$Z$1&amp;"'!"&amp;"BQ"&amp; ROW()-36)="rem","",INDIRECT("'"&amp;$Z$1&amp;"'!"&amp;"BQ"&amp; ROW()-36))</f>
        <v>#REF!</v>
      </c>
    </row>
    <row r="39" spans="1:10" ht="15" thickBot="1" x14ac:dyDescent="0.35">
      <c r="A39" s="54" t="str">
        <f ca="1">Main!B17</f>
        <v>CLO 2</v>
      </c>
      <c r="B39" s="75" t="e">
        <f ca="1">IF(INDIRECT("'"&amp;$Z$1&amp;"'!"&amp;"BK"&amp; ROW()-36)="rem","",INDIRECT("'"&amp;$Z$1&amp;"'!"&amp;"BK"&amp; ROW()-36))</f>
        <v>#REF!</v>
      </c>
      <c r="C39" s="75" t="e">
        <f ca="1">IF(INDIRECT("'"&amp;$Z$1&amp;"'!"&amp;"BL"&amp; ROW()-36)="rem","",INDIRECT("'"&amp;$Z$1&amp;"'!"&amp;"BL"&amp; ROW()-36))</f>
        <v>#REF!</v>
      </c>
      <c r="D39" s="75" t="e">
        <f ca="1">IF(INDIRECT("'"&amp;$Z$1&amp;"'!"&amp;"BM"&amp; ROW()-36)="rem","",INDIRECT("'"&amp;$Z$1&amp;"'!"&amp;"BM"&amp; ROW()-36))</f>
        <v>#REF!</v>
      </c>
      <c r="E39" s="75" t="e">
        <f ca="1">IF(INDIRECT("'"&amp;$Z$1&amp;"'!"&amp;"BN"&amp; ROW()-36)="rem","",INDIRECT("'"&amp;$Z$1&amp;"'!"&amp;"BN"&amp; ROW()-36))</f>
        <v>#REF!</v>
      </c>
      <c r="F39" s="75" t="e">
        <f ca="1">IF(INDIRECT("'"&amp;$Z$1&amp;"'!"&amp;"BO"&amp; ROW()-36)="rem","",INDIRECT("'"&amp;$Z$1&amp;"'!"&amp;"BO"&amp; ROW()-36))</f>
        <v>#REF!</v>
      </c>
      <c r="G39" s="75" t="e">
        <f ca="1">IF(INDIRECT("'"&amp;$Z$1&amp;"'!"&amp;"BP"&amp; ROW()-36)="rem","",INDIRECT("'"&amp;$Z$1&amp;"'!"&amp;"BP"&amp; ROW()-36))</f>
        <v>#REF!</v>
      </c>
      <c r="H39" s="55" t="e">
        <f ca="1">IF(INDIRECT("'"&amp;$Z$1&amp;"'!"&amp;"BQ"&amp; ROW()-36)="rem","",INDIRECT("'"&amp;$Z$1&amp;"'!"&amp;"BQ"&amp; ROW()-36))</f>
        <v>#REF!</v>
      </c>
    </row>
    <row r="40" spans="1:10" ht="15" thickBot="1" x14ac:dyDescent="0.35">
      <c r="A40" s="54" t="str">
        <f ca="1">Main!B18</f>
        <v>CLO 3</v>
      </c>
      <c r="B40" s="75" t="e">
        <f ca="1">IF(INDIRECT("'"&amp;$Z$1&amp;"'!"&amp;"BK"&amp; ROW()-36)="rem","",INDIRECT("'"&amp;$Z$1&amp;"'!"&amp;"BK"&amp; ROW()-36))</f>
        <v>#REF!</v>
      </c>
      <c r="C40" s="75" t="e">
        <f ca="1">IF(INDIRECT("'"&amp;$Z$1&amp;"'!"&amp;"BL"&amp; ROW()-36)="rem","",INDIRECT("'"&amp;$Z$1&amp;"'!"&amp;"BL"&amp; ROW()-36))</f>
        <v>#REF!</v>
      </c>
      <c r="D40" s="75" t="e">
        <f ca="1">IF(INDIRECT("'"&amp;$Z$1&amp;"'!"&amp;"BM"&amp; ROW()-36)="rem","",INDIRECT("'"&amp;$Z$1&amp;"'!"&amp;"BM"&amp; ROW()-36))</f>
        <v>#REF!</v>
      </c>
      <c r="E40" s="75" t="e">
        <f ca="1">IF(INDIRECT("'"&amp;$Z$1&amp;"'!"&amp;"BN"&amp; ROW()-36)="rem","",INDIRECT("'"&amp;$Z$1&amp;"'!"&amp;"BN"&amp; ROW()-36))</f>
        <v>#REF!</v>
      </c>
      <c r="F40" s="75" t="e">
        <f ca="1">IF(INDIRECT("'"&amp;$Z$1&amp;"'!"&amp;"BO"&amp; ROW()-36)="rem","",INDIRECT("'"&amp;$Z$1&amp;"'!"&amp;"BO"&amp; ROW()-36))</f>
        <v>#REF!</v>
      </c>
      <c r="G40" s="75" t="e">
        <f ca="1">IF(INDIRECT("'"&amp;$Z$1&amp;"'!"&amp;"BP"&amp; ROW()-36)="rem","",INDIRECT("'"&amp;$Z$1&amp;"'!"&amp;"BP"&amp; ROW()-36))</f>
        <v>#REF!</v>
      </c>
      <c r="H40" s="55" t="e">
        <f ca="1">IF(INDIRECT("'"&amp;$Z$1&amp;"'!"&amp;"BQ"&amp; ROW()-36)="rem","",INDIRECT("'"&amp;$Z$1&amp;"'!"&amp;"BQ"&amp; ROW()-36))</f>
        <v>#REF!</v>
      </c>
    </row>
    <row r="41" spans="1:10" ht="15" thickBot="1" x14ac:dyDescent="0.35">
      <c r="A41" s="54" t="str">
        <f ca="1">Main!B19</f>
        <v/>
      </c>
      <c r="B41" s="75" t="e">
        <f ca="1">IF(INDIRECT("'"&amp;$Z$1&amp;"'!"&amp;"BK"&amp; ROW()-36)="rem","",INDIRECT("'"&amp;$Z$1&amp;"'!"&amp;"BK"&amp; ROW()-36))</f>
        <v>#REF!</v>
      </c>
      <c r="C41" s="75" t="e">
        <f ca="1">IF(INDIRECT("'"&amp;$Z$1&amp;"'!"&amp;"BL"&amp; ROW()-36)="rem","",INDIRECT("'"&amp;$Z$1&amp;"'!"&amp;"BL"&amp; ROW()-36))</f>
        <v>#REF!</v>
      </c>
      <c r="D41" s="75" t="e">
        <f ca="1">IF(INDIRECT("'"&amp;$Z$1&amp;"'!"&amp;"BM"&amp; ROW()-36)="rem","",INDIRECT("'"&amp;$Z$1&amp;"'!"&amp;"BM"&amp; ROW()-36))</f>
        <v>#REF!</v>
      </c>
      <c r="E41" s="75" t="e">
        <f ca="1">IF(INDIRECT("'"&amp;$Z$1&amp;"'!"&amp;"BN"&amp; ROW()-36)="rem","",INDIRECT("'"&amp;$Z$1&amp;"'!"&amp;"BN"&amp; ROW()-36))</f>
        <v>#REF!</v>
      </c>
      <c r="F41" s="75" t="e">
        <f ca="1">IF(INDIRECT("'"&amp;$Z$1&amp;"'!"&amp;"BO"&amp; ROW()-36)="rem","",INDIRECT("'"&amp;$Z$1&amp;"'!"&amp;"BO"&amp; ROW()-36))</f>
        <v>#REF!</v>
      </c>
      <c r="G41" s="75" t="e">
        <f ca="1">IF(INDIRECT("'"&amp;$Z$1&amp;"'!"&amp;"BP"&amp; ROW()-36)="rem","",INDIRECT("'"&amp;$Z$1&amp;"'!"&amp;"BP"&amp; ROW()-36))</f>
        <v>#REF!</v>
      </c>
      <c r="H41" s="55" t="e">
        <f ca="1">IF(INDIRECT("'"&amp;$Z$1&amp;"'!"&amp;"BQ"&amp; ROW()-36)="rem","",INDIRECT("'"&amp;$Z$1&amp;"'!"&amp;"BQ"&amp; ROW()-36))</f>
        <v>#REF!</v>
      </c>
    </row>
    <row r="42" spans="1:10" ht="15" thickBot="1" x14ac:dyDescent="0.35">
      <c r="A42" s="54" t="str">
        <f ca="1">Main!B20</f>
        <v/>
      </c>
      <c r="B42" s="75" t="e">
        <f ca="1">IF(INDIRECT("'"&amp;$Z$1&amp;"'!"&amp;"BK"&amp; ROW()-36)="rem","",INDIRECT("'"&amp;$Z$1&amp;"'!"&amp;"BK"&amp; ROW()-36))</f>
        <v>#REF!</v>
      </c>
      <c r="C42" s="75" t="e">
        <f ca="1">IF(INDIRECT("'"&amp;$Z$1&amp;"'!"&amp;"BL"&amp; ROW()-36)="rem","",INDIRECT("'"&amp;$Z$1&amp;"'!"&amp;"BL"&amp; ROW()-36))</f>
        <v>#REF!</v>
      </c>
      <c r="D42" s="75" t="e">
        <f ca="1">IF(INDIRECT("'"&amp;$Z$1&amp;"'!"&amp;"BM"&amp; ROW()-36)="rem","",INDIRECT("'"&amp;$Z$1&amp;"'!"&amp;"BM"&amp; ROW()-36))</f>
        <v>#REF!</v>
      </c>
      <c r="E42" s="75" t="e">
        <f ca="1">IF(INDIRECT("'"&amp;$Z$1&amp;"'!"&amp;"BN"&amp; ROW()-36)="rem","",INDIRECT("'"&amp;$Z$1&amp;"'!"&amp;"BN"&amp; ROW()-36))</f>
        <v>#REF!</v>
      </c>
      <c r="F42" s="75" t="e">
        <f ca="1">IF(INDIRECT("'"&amp;$Z$1&amp;"'!"&amp;"BO"&amp; ROW()-36)="rem","",INDIRECT("'"&amp;$Z$1&amp;"'!"&amp;"BO"&amp; ROW()-36))</f>
        <v>#REF!</v>
      </c>
      <c r="G42" s="75" t="e">
        <f ca="1">IF(INDIRECT("'"&amp;$Z$1&amp;"'!"&amp;"BP"&amp; ROW()-36)="rem","",INDIRECT("'"&amp;$Z$1&amp;"'!"&amp;"BP"&amp; ROW()-36))</f>
        <v>#REF!</v>
      </c>
      <c r="H42" s="55" t="e">
        <f ca="1">IF(INDIRECT("'"&amp;$Z$1&amp;"'!"&amp;"BQ"&amp; ROW()-36)="rem","",INDIRECT("'"&amp;$Z$1&amp;"'!"&amp;"BQ"&amp; ROW()-36))</f>
        <v>#REF!</v>
      </c>
      <c r="J42" s="74"/>
    </row>
    <row r="43" spans="1:10" ht="15" thickBot="1" x14ac:dyDescent="0.35">
      <c r="A43" s="133"/>
      <c r="B43" s="134"/>
      <c r="C43" s="134"/>
      <c r="D43" s="134"/>
      <c r="E43" s="134"/>
      <c r="F43" s="134"/>
      <c r="G43" s="134"/>
      <c r="H43" s="135"/>
    </row>
    <row r="44" spans="1:10" ht="15" thickBot="1" x14ac:dyDescent="0.35">
      <c r="A44" s="54" t="s">
        <v>226</v>
      </c>
      <c r="B44" s="75" t="e">
        <f ca="1">IF(INDIRECT("'"&amp;$Z$1&amp;"'!"&amp;"BK"&amp; ROW()-37)="rem","",INDIRECT("'"&amp;$Z$1&amp;"'!"&amp;"BK"&amp; ROW()-37))</f>
        <v>#REF!</v>
      </c>
      <c r="C44" s="75" t="e">
        <f ca="1">IF(INDIRECT("'"&amp;$Z$1&amp;"'!"&amp;"BL"&amp; ROW()-37)="rem","",INDIRECT("'"&amp;$Z$1&amp;"'!"&amp;"BL"&amp; ROW()-37))</f>
        <v>#REF!</v>
      </c>
      <c r="D44" s="75" t="e">
        <f ca="1">IF(INDIRECT("'"&amp;$Z$1&amp;"'!"&amp;"BM"&amp; ROW()-37)="rem","",INDIRECT("'"&amp;$Z$1&amp;"'!"&amp;"BM"&amp; ROW()-37))</f>
        <v>#REF!</v>
      </c>
      <c r="E44" s="75" t="e">
        <f ca="1">IF(INDIRECT("'"&amp;$Z$1&amp;"'!"&amp;"BN"&amp; ROW()-37)="rem","",INDIRECT("'"&amp;$Z$1&amp;"'!"&amp;"BN"&amp; ROW()-37))</f>
        <v>#REF!</v>
      </c>
      <c r="F44" s="75" t="e">
        <f ca="1">IF(INDIRECT("'"&amp;$Z$1&amp;"'!"&amp;"BO"&amp; ROW()-37)="rem","",INDIRECT("'"&amp;$Z$1&amp;"'!"&amp;"BO"&amp; ROW()-37))</f>
        <v>#REF!</v>
      </c>
      <c r="G44" s="75" t="e">
        <f ca="1">IF(INDIRECT("'"&amp;$Z$1&amp;"'!"&amp;"BP"&amp; ROW()-37)="rem","",INDIRECT("'"&amp;$Z$1&amp;"'!"&amp;"BP"&amp; ROW()-37))</f>
        <v>#REF!</v>
      </c>
      <c r="H44" s="55" t="e">
        <f ca="1">IF(INDIRECT("'"&amp;$Z$1&amp;"'!"&amp;"BQ"&amp; ROW()-37)="rem","",INDIRECT("'"&amp;$Z$1&amp;"'!"&amp;"BQ"&amp; ROW()-37))</f>
        <v>#REF!</v>
      </c>
    </row>
    <row r="45" spans="1:10" ht="15" thickBot="1" x14ac:dyDescent="0.35">
      <c r="A45" s="54" t="s">
        <v>227</v>
      </c>
      <c r="B45" s="75" t="e">
        <f t="shared" ref="B45:B55" ca="1" si="0">IF(INDIRECT("'"&amp;$Z$1&amp;"'!"&amp;"BK"&amp; ROW()-37)="rem","",INDIRECT("'"&amp;$Z$1&amp;"'!"&amp;"BK"&amp; ROW()-37))</f>
        <v>#REF!</v>
      </c>
      <c r="C45" s="75" t="e">
        <f t="shared" ref="C45:C55" ca="1" si="1">IF(INDIRECT("'"&amp;$Z$1&amp;"'!"&amp;"BL"&amp; ROW()-37)="rem","",INDIRECT("'"&amp;$Z$1&amp;"'!"&amp;"BL"&amp; ROW()-37))</f>
        <v>#REF!</v>
      </c>
      <c r="D45" s="75" t="e">
        <f t="shared" ref="D45:D55" ca="1" si="2">IF(INDIRECT("'"&amp;$Z$1&amp;"'!"&amp;"BM"&amp; ROW()-37)="rem","",INDIRECT("'"&amp;$Z$1&amp;"'!"&amp;"BM"&amp; ROW()-37))</f>
        <v>#REF!</v>
      </c>
      <c r="E45" s="75" t="e">
        <f t="shared" ref="E45:E55" ca="1" si="3">IF(INDIRECT("'"&amp;$Z$1&amp;"'!"&amp;"BN"&amp; ROW()-37)="rem","",INDIRECT("'"&amp;$Z$1&amp;"'!"&amp;"BN"&amp; ROW()-37))</f>
        <v>#REF!</v>
      </c>
      <c r="F45" s="75" t="e">
        <f t="shared" ref="F45:F55" ca="1" si="4">IF(INDIRECT("'"&amp;$Z$1&amp;"'!"&amp;"BO"&amp; ROW()-37)="rem","",INDIRECT("'"&amp;$Z$1&amp;"'!"&amp;"BO"&amp; ROW()-37))</f>
        <v>#REF!</v>
      </c>
      <c r="G45" s="75" t="e">
        <f t="shared" ref="G45:G55" ca="1" si="5">IF(INDIRECT("'"&amp;$Z$1&amp;"'!"&amp;"BP"&amp; ROW()-37)="rem","",INDIRECT("'"&amp;$Z$1&amp;"'!"&amp;"BP"&amp; ROW()-37))</f>
        <v>#REF!</v>
      </c>
      <c r="H45" s="55" t="e">
        <f t="shared" ref="H45:H55" ca="1" si="6">IF(INDIRECT("'"&amp;$Z$1&amp;"'!"&amp;"BQ"&amp; ROW()-37)="rem","",INDIRECT("'"&amp;$Z$1&amp;"'!"&amp;"BQ"&amp; ROW()-37))</f>
        <v>#REF!</v>
      </c>
    </row>
    <row r="46" spans="1:10" ht="15" thickBot="1" x14ac:dyDescent="0.35">
      <c r="A46" s="54" t="s">
        <v>228</v>
      </c>
      <c r="B46" s="75" t="e">
        <f t="shared" ca="1" si="0"/>
        <v>#REF!</v>
      </c>
      <c r="C46" s="75" t="e">
        <f t="shared" ca="1" si="1"/>
        <v>#REF!</v>
      </c>
      <c r="D46" s="75" t="e">
        <f t="shared" ca="1" si="2"/>
        <v>#REF!</v>
      </c>
      <c r="E46" s="75" t="e">
        <f t="shared" ca="1" si="3"/>
        <v>#REF!</v>
      </c>
      <c r="F46" s="75" t="e">
        <f t="shared" ca="1" si="4"/>
        <v>#REF!</v>
      </c>
      <c r="G46" s="75" t="e">
        <f t="shared" ca="1" si="5"/>
        <v>#REF!</v>
      </c>
      <c r="H46" s="55" t="e">
        <f t="shared" ca="1" si="6"/>
        <v>#REF!</v>
      </c>
    </row>
    <row r="47" spans="1:10" ht="15" thickBot="1" x14ac:dyDescent="0.35">
      <c r="A47" s="54" t="s">
        <v>229</v>
      </c>
      <c r="B47" s="75" t="e">
        <f t="shared" ca="1" si="0"/>
        <v>#REF!</v>
      </c>
      <c r="C47" s="75" t="e">
        <f t="shared" ca="1" si="1"/>
        <v>#REF!</v>
      </c>
      <c r="D47" s="75" t="e">
        <f t="shared" ca="1" si="2"/>
        <v>#REF!</v>
      </c>
      <c r="E47" s="75" t="e">
        <f t="shared" ca="1" si="3"/>
        <v>#REF!</v>
      </c>
      <c r="F47" s="75" t="e">
        <f t="shared" ca="1" si="4"/>
        <v>#REF!</v>
      </c>
      <c r="G47" s="75" t="e">
        <f t="shared" ca="1" si="5"/>
        <v>#REF!</v>
      </c>
      <c r="H47" s="55" t="e">
        <f t="shared" ca="1" si="6"/>
        <v>#REF!</v>
      </c>
    </row>
    <row r="48" spans="1:10" ht="15" thickBot="1" x14ac:dyDescent="0.35">
      <c r="A48" s="54" t="s">
        <v>230</v>
      </c>
      <c r="B48" s="75" t="e">
        <f t="shared" ca="1" si="0"/>
        <v>#REF!</v>
      </c>
      <c r="C48" s="75" t="e">
        <f t="shared" ca="1" si="1"/>
        <v>#REF!</v>
      </c>
      <c r="D48" s="75" t="e">
        <f t="shared" ca="1" si="2"/>
        <v>#REF!</v>
      </c>
      <c r="E48" s="75" t="e">
        <f t="shared" ca="1" si="3"/>
        <v>#REF!</v>
      </c>
      <c r="F48" s="75" t="e">
        <f t="shared" ca="1" si="4"/>
        <v>#REF!</v>
      </c>
      <c r="G48" s="75" t="e">
        <f t="shared" ca="1" si="5"/>
        <v>#REF!</v>
      </c>
      <c r="H48" s="55" t="e">
        <f t="shared" ca="1" si="6"/>
        <v>#REF!</v>
      </c>
    </row>
    <row r="49" spans="1:8" ht="15" thickBot="1" x14ac:dyDescent="0.35">
      <c r="A49" s="54" t="s">
        <v>231</v>
      </c>
      <c r="B49" s="75" t="e">
        <f t="shared" ca="1" si="0"/>
        <v>#REF!</v>
      </c>
      <c r="C49" s="75" t="e">
        <f t="shared" ca="1" si="1"/>
        <v>#REF!</v>
      </c>
      <c r="D49" s="75" t="e">
        <f t="shared" ca="1" si="2"/>
        <v>#REF!</v>
      </c>
      <c r="E49" s="75" t="e">
        <f t="shared" ca="1" si="3"/>
        <v>#REF!</v>
      </c>
      <c r="F49" s="75" t="e">
        <f t="shared" ca="1" si="4"/>
        <v>#REF!</v>
      </c>
      <c r="G49" s="75" t="e">
        <f t="shared" ca="1" si="5"/>
        <v>#REF!</v>
      </c>
      <c r="H49" s="55" t="e">
        <f t="shared" ca="1" si="6"/>
        <v>#REF!</v>
      </c>
    </row>
    <row r="50" spans="1:8" ht="15" thickBot="1" x14ac:dyDescent="0.35">
      <c r="A50" s="54" t="s">
        <v>232</v>
      </c>
      <c r="B50" s="75" t="e">
        <f t="shared" ca="1" si="0"/>
        <v>#REF!</v>
      </c>
      <c r="C50" s="75" t="e">
        <f t="shared" ca="1" si="1"/>
        <v>#REF!</v>
      </c>
      <c r="D50" s="75" t="e">
        <f t="shared" ca="1" si="2"/>
        <v>#REF!</v>
      </c>
      <c r="E50" s="75" t="e">
        <f t="shared" ca="1" si="3"/>
        <v>#REF!</v>
      </c>
      <c r="F50" s="75" t="e">
        <f t="shared" ca="1" si="4"/>
        <v>#REF!</v>
      </c>
      <c r="G50" s="75" t="e">
        <f t="shared" ca="1" si="5"/>
        <v>#REF!</v>
      </c>
      <c r="H50" s="55" t="e">
        <f t="shared" ca="1" si="6"/>
        <v>#REF!</v>
      </c>
    </row>
    <row r="51" spans="1:8" ht="15" thickBot="1" x14ac:dyDescent="0.35">
      <c r="A51" s="54" t="s">
        <v>233</v>
      </c>
      <c r="B51" s="75" t="e">
        <f t="shared" ca="1" si="0"/>
        <v>#REF!</v>
      </c>
      <c r="C51" s="75" t="e">
        <f t="shared" ca="1" si="1"/>
        <v>#REF!</v>
      </c>
      <c r="D51" s="75" t="e">
        <f t="shared" ca="1" si="2"/>
        <v>#REF!</v>
      </c>
      <c r="E51" s="75" t="e">
        <f t="shared" ca="1" si="3"/>
        <v>#REF!</v>
      </c>
      <c r="F51" s="75" t="e">
        <f t="shared" ca="1" si="4"/>
        <v>#REF!</v>
      </c>
      <c r="G51" s="75" t="e">
        <f t="shared" ca="1" si="5"/>
        <v>#REF!</v>
      </c>
      <c r="H51" s="55" t="e">
        <f t="shared" ca="1" si="6"/>
        <v>#REF!</v>
      </c>
    </row>
    <row r="52" spans="1:8" ht="15" thickBot="1" x14ac:dyDescent="0.35">
      <c r="A52" s="54" t="s">
        <v>234</v>
      </c>
      <c r="B52" s="75" t="e">
        <f t="shared" ca="1" si="0"/>
        <v>#REF!</v>
      </c>
      <c r="C52" s="75" t="e">
        <f t="shared" ca="1" si="1"/>
        <v>#REF!</v>
      </c>
      <c r="D52" s="75" t="e">
        <f t="shared" ca="1" si="2"/>
        <v>#REF!</v>
      </c>
      <c r="E52" s="75" t="e">
        <f t="shared" ca="1" si="3"/>
        <v>#REF!</v>
      </c>
      <c r="F52" s="75" t="e">
        <f t="shared" ca="1" si="4"/>
        <v>#REF!</v>
      </c>
      <c r="G52" s="75" t="e">
        <f t="shared" ca="1" si="5"/>
        <v>#REF!</v>
      </c>
      <c r="H52" s="55" t="e">
        <f t="shared" ca="1" si="6"/>
        <v>#REF!</v>
      </c>
    </row>
    <row r="53" spans="1:8" ht="15" thickBot="1" x14ac:dyDescent="0.35">
      <c r="A53" s="54" t="s">
        <v>235</v>
      </c>
      <c r="B53" s="75" t="e">
        <f t="shared" ca="1" si="0"/>
        <v>#REF!</v>
      </c>
      <c r="C53" s="75" t="e">
        <f t="shared" ca="1" si="1"/>
        <v>#REF!</v>
      </c>
      <c r="D53" s="75" t="e">
        <f t="shared" ca="1" si="2"/>
        <v>#REF!</v>
      </c>
      <c r="E53" s="75" t="e">
        <f t="shared" ca="1" si="3"/>
        <v>#REF!</v>
      </c>
      <c r="F53" s="75" t="e">
        <f t="shared" ca="1" si="4"/>
        <v>#REF!</v>
      </c>
      <c r="G53" s="75" t="e">
        <f t="shared" ca="1" si="5"/>
        <v>#REF!</v>
      </c>
      <c r="H53" s="55" t="e">
        <f t="shared" ca="1" si="6"/>
        <v>#REF!</v>
      </c>
    </row>
    <row r="54" spans="1:8" ht="15" thickBot="1" x14ac:dyDescent="0.35">
      <c r="A54" s="54" t="s">
        <v>236</v>
      </c>
      <c r="B54" s="75" t="e">
        <f t="shared" ca="1" si="0"/>
        <v>#REF!</v>
      </c>
      <c r="C54" s="75" t="e">
        <f t="shared" ca="1" si="1"/>
        <v>#REF!</v>
      </c>
      <c r="D54" s="75" t="e">
        <f t="shared" ca="1" si="2"/>
        <v>#REF!</v>
      </c>
      <c r="E54" s="75" t="e">
        <f t="shared" ca="1" si="3"/>
        <v>#REF!</v>
      </c>
      <c r="F54" s="75" t="e">
        <f t="shared" ca="1" si="4"/>
        <v>#REF!</v>
      </c>
      <c r="G54" s="75" t="e">
        <f t="shared" ca="1" si="5"/>
        <v>#REF!</v>
      </c>
      <c r="H54" s="55" t="e">
        <f t="shared" ca="1" si="6"/>
        <v>#REF!</v>
      </c>
    </row>
    <row r="55" spans="1:8" ht="15" thickBot="1" x14ac:dyDescent="0.35">
      <c r="A55" s="54" t="s">
        <v>237</v>
      </c>
      <c r="B55" s="75" t="e">
        <f t="shared" ca="1" si="0"/>
        <v>#REF!</v>
      </c>
      <c r="C55" s="75" t="e">
        <f t="shared" ca="1" si="1"/>
        <v>#REF!</v>
      </c>
      <c r="D55" s="75" t="e">
        <f t="shared" ca="1" si="2"/>
        <v>#REF!</v>
      </c>
      <c r="E55" s="75" t="e">
        <f t="shared" ca="1" si="3"/>
        <v>#REF!</v>
      </c>
      <c r="F55" s="75" t="e">
        <f t="shared" ca="1" si="4"/>
        <v>#REF!</v>
      </c>
      <c r="G55" s="75" t="e">
        <f t="shared" ca="1" si="5"/>
        <v>#REF!</v>
      </c>
      <c r="H55" s="55" t="e">
        <f t="shared" ca="1" si="6"/>
        <v>#REF!</v>
      </c>
    </row>
    <row r="56" spans="1:8" x14ac:dyDescent="0.3">
      <c r="A56" s="50"/>
    </row>
    <row r="57" spans="1:8" x14ac:dyDescent="0.3">
      <c r="A57" s="50"/>
    </row>
    <row r="58" spans="1:8" x14ac:dyDescent="0.3">
      <c r="A58" s="50" t="s">
        <v>628</v>
      </c>
    </row>
    <row r="59" spans="1:8" x14ac:dyDescent="0.3">
      <c r="A59" s="51" t="s">
        <v>629</v>
      </c>
    </row>
    <row r="60" spans="1:8" x14ac:dyDescent="0.3">
      <c r="A60" s="51"/>
    </row>
    <row r="61" spans="1:8" s="59" customFormat="1" ht="15" thickBot="1" x14ac:dyDescent="0.35">
      <c r="A61" s="144" t="s">
        <v>630</v>
      </c>
      <c r="B61" s="145"/>
      <c r="C61" s="145"/>
      <c r="D61" s="145"/>
      <c r="E61" s="145"/>
      <c r="F61" s="145"/>
      <c r="G61" s="145"/>
      <c r="H61" s="145"/>
    </row>
    <row r="62" spans="1:8" s="59" customFormat="1" ht="33.9" customHeight="1" thickBot="1" x14ac:dyDescent="0.35">
      <c r="A62" s="140"/>
      <c r="B62" s="141"/>
      <c r="C62" s="141"/>
      <c r="D62" s="141"/>
      <c r="E62" s="141"/>
      <c r="F62" s="141"/>
      <c r="G62" s="141"/>
      <c r="H62" s="142"/>
    </row>
    <row r="63" spans="1:8" s="59" customFormat="1" ht="15" thickBot="1" x14ac:dyDescent="0.35">
      <c r="A63" s="144" t="s">
        <v>631</v>
      </c>
      <c r="B63" s="145"/>
      <c r="C63" s="145"/>
      <c r="D63" s="145"/>
      <c r="E63" s="145"/>
      <c r="F63" s="145"/>
      <c r="G63" s="145"/>
      <c r="H63" s="145"/>
    </row>
    <row r="64" spans="1:8" s="59" customFormat="1" ht="33.9" customHeight="1" thickBot="1" x14ac:dyDescent="0.35">
      <c r="A64" s="140"/>
      <c r="B64" s="141"/>
      <c r="C64" s="141"/>
      <c r="D64" s="141"/>
      <c r="E64" s="141"/>
      <c r="F64" s="141"/>
      <c r="G64" s="141"/>
      <c r="H64" s="142"/>
    </row>
    <row r="65" spans="1:8" s="59" customFormat="1" ht="27.45" customHeight="1" thickBot="1" x14ac:dyDescent="0.35">
      <c r="A65" s="144" t="s">
        <v>632</v>
      </c>
      <c r="B65" s="145"/>
      <c r="C65" s="145"/>
      <c r="D65" s="145"/>
      <c r="E65" s="145"/>
      <c r="F65" s="145"/>
      <c r="G65" s="145"/>
      <c r="H65" s="145"/>
    </row>
    <row r="66" spans="1:8" s="59" customFormat="1" x14ac:dyDescent="0.3">
      <c r="A66" s="146"/>
      <c r="B66" s="147"/>
      <c r="C66" s="147"/>
      <c r="D66" s="147"/>
      <c r="E66" s="147"/>
      <c r="F66" s="147"/>
      <c r="G66" s="147"/>
      <c r="H66" s="148"/>
    </row>
    <row r="67" spans="1:8" s="59" customFormat="1" ht="32.4" customHeight="1" thickBot="1" x14ac:dyDescent="0.35">
      <c r="A67" s="149"/>
      <c r="B67" s="150"/>
      <c r="C67" s="150"/>
      <c r="D67" s="150"/>
      <c r="E67" s="150"/>
      <c r="F67" s="150"/>
      <c r="G67" s="150"/>
      <c r="H67" s="151"/>
    </row>
    <row r="68" spans="1:8" s="59" customFormat="1" ht="39.450000000000003" customHeight="1" thickBot="1" x14ac:dyDescent="0.35">
      <c r="A68" s="144" t="s">
        <v>633</v>
      </c>
      <c r="B68" s="145"/>
      <c r="C68" s="145"/>
      <c r="D68" s="145"/>
      <c r="E68" s="145"/>
      <c r="F68" s="145"/>
      <c r="G68" s="145"/>
      <c r="H68" s="145"/>
    </row>
    <row r="69" spans="1:8" s="59" customFormat="1" ht="45.6" customHeight="1" thickBot="1" x14ac:dyDescent="0.35">
      <c r="A69" s="140"/>
      <c r="B69" s="141"/>
      <c r="C69" s="141"/>
      <c r="D69" s="141"/>
      <c r="E69" s="141"/>
      <c r="F69" s="141"/>
      <c r="G69" s="141"/>
      <c r="H69" s="142"/>
    </row>
    <row r="70" spans="1:8" s="59" customFormat="1" ht="30.6" customHeight="1" thickBot="1" x14ac:dyDescent="0.35">
      <c r="A70" s="144" t="s">
        <v>634</v>
      </c>
      <c r="B70" s="145"/>
      <c r="C70" s="145"/>
      <c r="D70" s="145"/>
      <c r="E70" s="145"/>
      <c r="F70" s="145"/>
      <c r="G70" s="145"/>
      <c r="H70" s="145"/>
    </row>
    <row r="71" spans="1:8" s="59" customFormat="1" x14ac:dyDescent="0.3">
      <c r="A71" s="146"/>
      <c r="B71" s="147"/>
      <c r="C71" s="147"/>
      <c r="D71" s="147"/>
      <c r="E71" s="147"/>
      <c r="F71" s="147"/>
      <c r="G71" s="147"/>
      <c r="H71" s="148"/>
    </row>
    <row r="72" spans="1:8" s="59" customFormat="1" ht="22.5" customHeight="1" thickBot="1" x14ac:dyDescent="0.35">
      <c r="A72" s="149"/>
      <c r="B72" s="150"/>
      <c r="C72" s="150"/>
      <c r="D72" s="150"/>
      <c r="E72" s="150"/>
      <c r="F72" s="150"/>
      <c r="G72" s="150"/>
      <c r="H72" s="151"/>
    </row>
    <row r="73" spans="1:8" s="59" customFormat="1" ht="28.95" customHeight="1" thickBot="1" x14ac:dyDescent="0.35">
      <c r="A73" s="144" t="s">
        <v>635</v>
      </c>
      <c r="B73" s="145"/>
      <c r="C73" s="145"/>
      <c r="D73" s="145"/>
      <c r="E73" s="145"/>
      <c r="F73" s="145"/>
      <c r="G73" s="145"/>
      <c r="H73" s="145"/>
    </row>
    <row r="74" spans="1:8" s="59" customFormat="1" ht="27" customHeight="1" thickBot="1" x14ac:dyDescent="0.35">
      <c r="A74" s="140"/>
      <c r="B74" s="141"/>
      <c r="C74" s="141"/>
      <c r="D74" s="141"/>
      <c r="E74" s="141"/>
      <c r="F74" s="141"/>
      <c r="G74" s="141"/>
      <c r="H74" s="142"/>
    </row>
    <row r="75" spans="1:8" s="59" customFormat="1" ht="30.45" customHeight="1" thickBot="1" x14ac:dyDescent="0.35">
      <c r="A75" s="144" t="s">
        <v>636</v>
      </c>
      <c r="B75" s="145"/>
      <c r="C75" s="145"/>
      <c r="D75" s="145"/>
      <c r="E75" s="145"/>
      <c r="F75" s="145"/>
      <c r="G75" s="145"/>
      <c r="H75" s="145"/>
    </row>
    <row r="76" spans="1:8" s="59" customFormat="1" ht="36.450000000000003" customHeight="1" thickBot="1" x14ac:dyDescent="0.35">
      <c r="A76" s="140"/>
      <c r="B76" s="141"/>
      <c r="C76" s="141"/>
      <c r="D76" s="141"/>
      <c r="E76" s="141"/>
      <c r="F76" s="141"/>
      <c r="G76" s="141"/>
      <c r="H76" s="142"/>
    </row>
    <row r="77" spans="1:8" s="59" customFormat="1" ht="15" thickBot="1" x14ac:dyDescent="0.35">
      <c r="A77" s="144" t="s">
        <v>637</v>
      </c>
      <c r="B77" s="145"/>
      <c r="C77" s="145"/>
      <c r="D77" s="145"/>
      <c r="E77" s="145"/>
      <c r="F77" s="145"/>
      <c r="G77" s="145"/>
      <c r="H77" s="145"/>
    </row>
    <row r="78" spans="1:8" s="59" customFormat="1" ht="36.6" customHeight="1" thickBot="1" x14ac:dyDescent="0.35">
      <c r="A78" s="140"/>
      <c r="B78" s="141"/>
      <c r="C78" s="141"/>
      <c r="D78" s="141"/>
      <c r="E78" s="141"/>
      <c r="F78" s="141"/>
      <c r="G78" s="141"/>
      <c r="H78" s="142"/>
    </row>
    <row r="79" spans="1:8" s="59" customFormat="1" ht="15" thickBot="1" x14ac:dyDescent="0.35">
      <c r="A79" s="144" t="s">
        <v>638</v>
      </c>
      <c r="B79" s="145"/>
      <c r="C79" s="145"/>
      <c r="D79" s="145"/>
      <c r="E79" s="145"/>
      <c r="F79" s="145"/>
      <c r="G79" s="145"/>
      <c r="H79" s="145"/>
    </row>
    <row r="80" spans="1:8" s="59" customFormat="1" ht="49.2" customHeight="1" thickBot="1" x14ac:dyDescent="0.35">
      <c r="A80" s="140"/>
      <c r="B80" s="141"/>
      <c r="C80" s="141"/>
      <c r="D80" s="141"/>
      <c r="E80" s="141"/>
      <c r="F80" s="141"/>
      <c r="G80" s="141"/>
      <c r="H80" s="142"/>
    </row>
    <row r="81" spans="1:8" s="59" customFormat="1" x14ac:dyDescent="0.3">
      <c r="A81" s="60"/>
    </row>
    <row r="82" spans="1:8" s="59" customFormat="1" ht="15" thickBot="1" x14ac:dyDescent="0.35">
      <c r="A82" s="76"/>
      <c r="B82" s="77"/>
      <c r="C82" s="77"/>
    </row>
    <row r="83" spans="1:8" s="59" customFormat="1" x14ac:dyDescent="0.3">
      <c r="A83" s="145" t="s">
        <v>650</v>
      </c>
      <c r="B83" s="145"/>
      <c r="C83" s="61"/>
      <c r="E83" s="62" t="s">
        <v>651</v>
      </c>
      <c r="F83" s="79">
        <f ca="1">NOW()</f>
        <v>44647.707967476854</v>
      </c>
    </row>
    <row r="84" spans="1:8" s="59" customFormat="1" x14ac:dyDescent="0.3">
      <c r="A84" s="152" t="s">
        <v>639</v>
      </c>
      <c r="B84" s="152"/>
      <c r="C84" s="61"/>
      <c r="E84" s="62"/>
    </row>
    <row r="85" spans="1:8" s="59" customFormat="1" x14ac:dyDescent="0.3">
      <c r="A85" s="63"/>
      <c r="B85" s="61"/>
      <c r="C85" s="61"/>
      <c r="E85" s="62"/>
    </row>
    <row r="86" spans="1:8" s="59" customFormat="1" x14ac:dyDescent="0.3">
      <c r="A86" s="145" t="s">
        <v>650</v>
      </c>
      <c r="B86" s="145"/>
      <c r="C86" s="61"/>
      <c r="E86" s="62" t="s">
        <v>651</v>
      </c>
    </row>
    <row r="87" spans="1:8" s="59" customFormat="1" x14ac:dyDescent="0.3">
      <c r="A87" s="152" t="s">
        <v>640</v>
      </c>
      <c r="B87" s="152"/>
      <c r="C87" s="61"/>
    </row>
    <row r="88" spans="1:8" s="59" customFormat="1" ht="15" thickBot="1" x14ac:dyDescent="0.35">
      <c r="A88" s="144" t="s">
        <v>641</v>
      </c>
      <c r="B88" s="145"/>
      <c r="C88" s="145"/>
      <c r="D88" s="145"/>
      <c r="E88" s="145"/>
      <c r="F88" s="145"/>
      <c r="G88" s="145"/>
      <c r="H88" s="145"/>
    </row>
    <row r="89" spans="1:8" ht="76.2" customHeight="1" thickBot="1" x14ac:dyDescent="0.35">
      <c r="A89" s="140"/>
      <c r="B89" s="141"/>
      <c r="C89" s="141"/>
      <c r="D89" s="141"/>
      <c r="E89" s="141"/>
      <c r="F89" s="141"/>
      <c r="G89" s="141"/>
      <c r="H89" s="142"/>
    </row>
  </sheetData>
  <mergeCells count="49">
    <mergeCell ref="A86:B86"/>
    <mergeCell ref="A87:B87"/>
    <mergeCell ref="A88:H88"/>
    <mergeCell ref="A89:H89"/>
    <mergeCell ref="A18:H21"/>
    <mergeCell ref="A23:H26"/>
    <mergeCell ref="A77:H77"/>
    <mergeCell ref="A78:H78"/>
    <mergeCell ref="A79:H79"/>
    <mergeCell ref="A80:H80"/>
    <mergeCell ref="A83:B83"/>
    <mergeCell ref="A84:B84"/>
    <mergeCell ref="A70:H70"/>
    <mergeCell ref="A71:H72"/>
    <mergeCell ref="A73:H73"/>
    <mergeCell ref="A74:H74"/>
    <mergeCell ref="A75:H75"/>
    <mergeCell ref="A76:H76"/>
    <mergeCell ref="A63:H63"/>
    <mergeCell ref="A64:H64"/>
    <mergeCell ref="A65:H65"/>
    <mergeCell ref="A66:H67"/>
    <mergeCell ref="A68:H68"/>
    <mergeCell ref="A69:H69"/>
    <mergeCell ref="A62:H62"/>
    <mergeCell ref="A17:H17"/>
    <mergeCell ref="A22:H22"/>
    <mergeCell ref="A27:F27"/>
    <mergeCell ref="A28:F28"/>
    <mergeCell ref="A29:F29"/>
    <mergeCell ref="A30:F30"/>
    <mergeCell ref="G34:H34"/>
    <mergeCell ref="G35:H35"/>
    <mergeCell ref="A61:H61"/>
    <mergeCell ref="A16:C16"/>
    <mergeCell ref="A43:H43"/>
    <mergeCell ref="A4:H4"/>
    <mergeCell ref="A1:H1"/>
    <mergeCell ref="A2:H2"/>
    <mergeCell ref="A6:C6"/>
    <mergeCell ref="A7:C7"/>
    <mergeCell ref="A8:C8"/>
    <mergeCell ref="A9:C9"/>
    <mergeCell ref="A10:C10"/>
    <mergeCell ref="A11:C11"/>
    <mergeCell ref="A12:C12"/>
    <mergeCell ref="A13:C13"/>
    <mergeCell ref="A14:C14"/>
    <mergeCell ref="A15:C15"/>
  </mergeCells>
  <pageMargins left="1.2204724409448819" right="0.70866141732283472" top="0.74803149606299213" bottom="0.74803149606299213" header="0.31496062992125984" footer="0.31496062992125984"/>
  <pageSetup paperSize="9" orientation="portrait" horizontalDpi="4294967295" verticalDpi="4294967295" r:id="rId1"/>
  <headerFooter>
    <oddFooter>Page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D1:CW500"/>
  <sheetViews>
    <sheetView zoomScale="98" workbookViewId="0"/>
  </sheetViews>
  <sheetFormatPr defaultRowHeight="14.4" x14ac:dyDescent="0.3"/>
  <cols>
    <col min="1" max="12" width="8.77734375" customWidth="1"/>
    <col min="13" max="13" width="8.77734375" hidden="1" customWidth="1"/>
    <col min="14" max="21" width="5.33203125" hidden="1" customWidth="1"/>
    <col min="22" max="24" width="6.33203125" hidden="1" customWidth="1"/>
    <col min="25" max="33" width="5.33203125" hidden="1" customWidth="1"/>
    <col min="34" max="36" width="6.33203125" hidden="1" customWidth="1"/>
    <col min="63" max="67" width="11.109375" bestFit="1" customWidth="1"/>
    <col min="68" max="68" width="10.109375" bestFit="1" customWidth="1"/>
  </cols>
  <sheetData>
    <row r="1" spans="4:101" x14ac:dyDescent="0.3">
      <c r="BK1" t="str">
        <f>"Sec-"&amp;BK19</f>
        <v>Sec-U</v>
      </c>
      <c r="BL1" s="97" t="str">
        <f t="shared" ref="BL1:BO1" si="0">"Sec-"&amp;BL19</f>
        <v>Sec-T</v>
      </c>
      <c r="BM1" s="97" t="str">
        <f t="shared" si="0"/>
        <v>Sec-C</v>
      </c>
      <c r="BN1" s="97" t="str">
        <f t="shared" si="0"/>
        <v>Sec-M</v>
      </c>
      <c r="BO1" s="97" t="str">
        <f t="shared" si="0"/>
        <v>Sec-E</v>
      </c>
      <c r="BP1" t="str">
        <f>"Comb-"&amp;Main!E9</f>
        <v>Comb-U,T,M</v>
      </c>
      <c r="BQ1" t="s">
        <v>372</v>
      </c>
      <c r="BS1" t="s">
        <v>386</v>
      </c>
      <c r="BT1" s="96" t="e" cm="1">
        <f t="array" ref="BT1">ROUND(SUM(SUMIFS(F8:F420,C8:C420,{"U","E","T","P","M","A","B","C","D"}))/SUM(COUNTIFS(C8:C420,{"U","E","T","P","M","A","B","C","D"})),2)</f>
        <v>#DIV/0!</v>
      </c>
    </row>
    <row r="2" spans="4:101" ht="14.4" customHeight="1" x14ac:dyDescent="0.3">
      <c r="G2" s="164" t="str">
        <f>"DF=                              Summer maximum Marks/
                    Previous Semester Top-10%-Student Average Marks"</f>
        <v>DF=                              Summer maximum Marks/
                    Previous Semester Top-10%-Student Average Marks</v>
      </c>
      <c r="H2" s="164"/>
      <c r="I2" s="164"/>
      <c r="J2" s="164"/>
      <c r="K2" s="164"/>
      <c r="L2" s="164"/>
      <c r="M2" s="164"/>
      <c r="N2" s="164"/>
      <c r="O2" s="164"/>
      <c r="BJ2" t="s">
        <v>118</v>
      </c>
      <c r="BK2" s="28" t="str">
        <f ca="1">IF(COUNTIFS(INDIRECT(ADDRESS(8,ROW()-2+81)&amp;":"&amp;ADDRESS(500,ROW()-2+81)),"&gt;="&amp;Main!$I$2,$C$8:$C$500,"="&amp;BK$19)&gt;0,COUNTIFS(INDIRECT(ADDRESS(8,ROW()-2+81)&amp;":"&amp;ADDRESS(500,ROW()-2+81)),"&gt;="&amp;Main!$I$2,$C$8:$C$500,"="&amp;BK$19)/BK$20*100,"rem")</f>
        <v>rem</v>
      </c>
      <c r="BL2" s="28" t="str">
        <f ca="1">IF(COUNTIFS(INDIRECT(ADDRESS(8,ROW()-2+81)&amp;":"&amp;ADDRESS(500,ROW()-2+81)),"&gt;="&amp;Main!$I$2,$C$8:$C$500,"="&amp;BL$19)&gt;0,COUNTIFS(INDIRECT(ADDRESS(8,ROW()-2+81)&amp;":"&amp;ADDRESS(500,ROW()-2+81)),"&gt;="&amp;Main!$I$2,$C$8:$C$500,"="&amp;BL$19)/BL$20*100,"rem")</f>
        <v>rem</v>
      </c>
      <c r="BM2" s="28" t="str">
        <f ca="1">IF(COUNTIFS(INDIRECT(ADDRESS(8,ROW()-2+81)&amp;":"&amp;ADDRESS(500,ROW()-2+81)),"&gt;="&amp;Main!$I$2,$C$8:$C$500,"="&amp;BM$19)&gt;0,COUNTIFS(INDIRECT(ADDRESS(8,ROW()-2+81)&amp;":"&amp;ADDRESS(500,ROW()-2+81)),"&gt;="&amp;Main!$I$2,$C$8:$C$500,"="&amp;BM$19)/BM$20*100,"rem")</f>
        <v>rem</v>
      </c>
      <c r="BN2" s="28" t="str">
        <f ca="1">IF(COUNTIFS(INDIRECT(ADDRESS(8,ROW()-2+81)&amp;":"&amp;ADDRESS(500,ROW()-2+81)),"&gt;="&amp;Main!$I$2,$C$8:$C$500,"="&amp;BN$19)&gt;0,COUNTIFS(INDIRECT(ADDRESS(8,ROW()-2+81)&amp;":"&amp;ADDRESS(500,ROW()-2+81)),"&gt;="&amp;Main!$I$2,$C$8:$C$500,"="&amp;BN$19)/BN$20*100,"rem")</f>
        <v>rem</v>
      </c>
      <c r="BO2" s="28" t="str">
        <f ca="1">IF(COUNTIFS(INDIRECT(ADDRESS(8,ROW()-2+81)&amp;":"&amp;ADDRESS(500,ROW()-2+81)),"&gt;="&amp;Main!$I$2,$C$8:$C$500,"="&amp;BO$19)&gt;0,COUNTIFS(INDIRECT(ADDRESS(8,ROW()-2+81)&amp;":"&amp;ADDRESS(500,ROW()-2+81)),"&gt;="&amp;Main!$I$2,$C$8:$C$500,"="&amp;BO$19)/BO$20*100,"rem")</f>
        <v>rem</v>
      </c>
      <c r="BP2" s="28" t="str">
        <f ca="1">IF(COUNTIFS(INDIRECT(ADDRESS(8,ROW()-2+81)&amp;":"&amp;ADDRESS(500,ROW()-2+81)),"&gt;="&amp;Main!$I$2)&gt;0,COUNTIFS(INDIRECT(ADDRESS(8,ROW()-2+81)&amp;":"&amp;ADDRESS(500,ROW()-2+81)),"&gt;="&amp;Main!$I$2)/BP$20*100,"rem")</f>
        <v>rem</v>
      </c>
      <c r="BQ2">
        <f>VALUE(Main!$M$2)</f>
        <v>60</v>
      </c>
      <c r="BS2" t="s">
        <v>387</v>
      </c>
      <c r="BT2" s="97" t="e">
        <f>DSTDEV(C7:F420,"GPA",BZ3:BZ8)</f>
        <v>#VALUE!</v>
      </c>
      <c r="BV2" t="e">
        <f>MAX(BU4:BU40)</f>
        <v>#DIV/0!</v>
      </c>
    </row>
    <row r="3" spans="4:101" x14ac:dyDescent="0.3">
      <c r="G3" s="164"/>
      <c r="H3" s="164"/>
      <c r="I3" s="164"/>
      <c r="J3" s="164"/>
      <c r="K3" s="164"/>
      <c r="L3" s="164"/>
      <c r="M3" s="164"/>
      <c r="N3" s="164"/>
      <c r="O3" s="164"/>
      <c r="BJ3" t="s">
        <v>120</v>
      </c>
      <c r="BK3" s="28" t="str">
        <f ca="1">IF(COUNTIFS(INDIRECT(ADDRESS(8,ROW()-2+81)&amp;":"&amp;ADDRESS(500,ROW()-2+81)),"&gt;="&amp;Main!$I$2,$C$8:$C$500,"="&amp;BK$19)&gt;0,COUNTIFS(INDIRECT(ADDRESS(8,ROW()-2+81)&amp;":"&amp;ADDRESS(500,ROW()-2+81)),"&gt;="&amp;Main!$I$2,$C$8:$C$500,"="&amp;BK$19)/BK$20*100,"rem")</f>
        <v>rem</v>
      </c>
      <c r="BL3" s="28" t="str">
        <f ca="1">IF(COUNTIFS(INDIRECT(ADDRESS(8,ROW()-2+81)&amp;":"&amp;ADDRESS(500,ROW()-2+81)),"&gt;="&amp;Main!$I$2,$C$8:$C$500,"="&amp;BL$19)&gt;0,COUNTIFS(INDIRECT(ADDRESS(8,ROW()-2+81)&amp;":"&amp;ADDRESS(500,ROW()-2+81)),"&gt;="&amp;Main!$I$2,$C$8:$C$500,"="&amp;BL$19)/BL$20*100,"rem")</f>
        <v>rem</v>
      </c>
      <c r="BM3" s="28" t="str">
        <f ca="1">IF(COUNTIFS(INDIRECT(ADDRESS(8,ROW()-2+81)&amp;":"&amp;ADDRESS(500,ROW()-2+81)),"&gt;="&amp;Main!$I$2,$C$8:$C$500,"="&amp;BM$19)&gt;0,COUNTIFS(INDIRECT(ADDRESS(8,ROW()-2+81)&amp;":"&amp;ADDRESS(500,ROW()-2+81)),"&gt;="&amp;Main!$I$2,$C$8:$C$500,"="&amp;BM$19)/BM$20*100,"rem")</f>
        <v>rem</v>
      </c>
      <c r="BN3" s="28" t="str">
        <f ca="1">IF(COUNTIFS(INDIRECT(ADDRESS(8,ROW()-2+81)&amp;":"&amp;ADDRESS(500,ROW()-2+81)),"&gt;="&amp;Main!$I$2,$C$8:$C$500,"="&amp;BN$19)&gt;0,COUNTIFS(INDIRECT(ADDRESS(8,ROW()-2+81)&amp;":"&amp;ADDRESS(500,ROW()-2+81)),"&gt;="&amp;Main!$I$2,$C$8:$C$500,"="&amp;BN$19)/BN$20*100,"rem")</f>
        <v>rem</v>
      </c>
      <c r="BO3" s="28" t="str">
        <f ca="1">IF(COUNTIFS(INDIRECT(ADDRESS(8,ROW()-2+81)&amp;":"&amp;ADDRESS(500,ROW()-2+81)),"&gt;="&amp;Main!$I$2,$C$8:$C$500,"="&amp;BO$19)&gt;0,COUNTIFS(INDIRECT(ADDRESS(8,ROW()-2+81)&amp;":"&amp;ADDRESS(500,ROW()-2+81)),"&gt;="&amp;Main!$I$2,$C$8:$C$500,"="&amp;BO$19)/BO$20*100,"rem")</f>
        <v>rem</v>
      </c>
      <c r="BP3" s="28" t="str">
        <f ca="1">IF(COUNTIFS(INDIRECT(ADDRESS(8,ROW()-2+81)&amp;":"&amp;ADDRESS(500,ROW()-2+81)),"&gt;="&amp;Main!$I$2)&gt;0,COUNTIFS(INDIRECT(ADDRESS(8,ROW()-2+81)&amp;":"&amp;ADDRESS(500,ROW()-2+81)),"&gt;="&amp;Main!$I$2)/BP$20*100,"rem")</f>
        <v>rem</v>
      </c>
      <c r="BQ3">
        <f>VALUE(Main!$M$2)</f>
        <v>60</v>
      </c>
      <c r="BS3" t="s">
        <v>388</v>
      </c>
      <c r="BT3">
        <f>COUNT(F8:F420)</f>
        <v>0</v>
      </c>
      <c r="BX3" t="s">
        <v>405</v>
      </c>
      <c r="BY3" t="s">
        <v>211</v>
      </c>
      <c r="BZ3" s="97" t="str">
        <f t="array" ref="BZ3:BZ8">TRANSPOSE(BJ19:BO19)</f>
        <v>Sec</v>
      </c>
    </row>
    <row r="4" spans="4:101" x14ac:dyDescent="0.3">
      <c r="F4" s="163" t="s">
        <v>690</v>
      </c>
      <c r="G4" s="163"/>
      <c r="H4" s="163"/>
      <c r="I4" s="163"/>
      <c r="J4" s="163"/>
      <c r="K4" s="81">
        <v>1</v>
      </c>
      <c r="BJ4" t="s">
        <v>121</v>
      </c>
      <c r="BK4" s="28" t="str">
        <f ca="1">IF(COUNTIFS(INDIRECT(ADDRESS(8,ROW()-2+81)&amp;":"&amp;ADDRESS(500,ROW()-2+81)),"&gt;="&amp;Main!$I$2,$C$8:$C$500,"="&amp;BK$19)&gt;0,COUNTIFS(INDIRECT(ADDRESS(8,ROW()-2+81)&amp;":"&amp;ADDRESS(500,ROW()-2+81)),"&gt;="&amp;Main!$I$2,$C$8:$C$500,"="&amp;BK$19)/BK$20*100,"rem")</f>
        <v>rem</v>
      </c>
      <c r="BL4" s="28" t="str">
        <f ca="1">IF(COUNTIFS(INDIRECT(ADDRESS(8,ROW()-2+81)&amp;":"&amp;ADDRESS(500,ROW()-2+81)),"&gt;="&amp;Main!$I$2,$C$8:$C$500,"="&amp;BL$19)&gt;0,COUNTIFS(INDIRECT(ADDRESS(8,ROW()-2+81)&amp;":"&amp;ADDRESS(500,ROW()-2+81)),"&gt;="&amp;Main!$I$2,$C$8:$C$500,"="&amp;BL$19)/BL$20*100,"rem")</f>
        <v>rem</v>
      </c>
      <c r="BM4" s="28" t="str">
        <f ca="1">IF(COUNTIFS(INDIRECT(ADDRESS(8,ROW()-2+81)&amp;":"&amp;ADDRESS(500,ROW()-2+81)),"&gt;="&amp;Main!$I$2,$C$8:$C$500,"="&amp;BM$19)&gt;0,COUNTIFS(INDIRECT(ADDRESS(8,ROW()-2+81)&amp;":"&amp;ADDRESS(500,ROW()-2+81)),"&gt;="&amp;Main!$I$2,$C$8:$C$500,"="&amp;BM$19)/BM$20*100,"rem")</f>
        <v>rem</v>
      </c>
      <c r="BN4" s="28" t="str">
        <f ca="1">IF(COUNTIFS(INDIRECT(ADDRESS(8,ROW()-2+81)&amp;":"&amp;ADDRESS(500,ROW()-2+81)),"&gt;="&amp;Main!$I$2,$C$8:$C$500,"="&amp;BN$19)&gt;0,COUNTIFS(INDIRECT(ADDRESS(8,ROW()-2+81)&amp;":"&amp;ADDRESS(500,ROW()-2+81)),"&gt;="&amp;Main!$I$2,$C$8:$C$500,"="&amp;BN$19)/BN$20*100,"rem")</f>
        <v>rem</v>
      </c>
      <c r="BO4" s="28" t="str">
        <f ca="1">IF(COUNTIFS(INDIRECT(ADDRESS(8,ROW()-2+81)&amp;":"&amp;ADDRESS(500,ROW()-2+81)),"&gt;="&amp;Main!$I$2,$C$8:$C$500,"="&amp;BO$19)&gt;0,COUNTIFS(INDIRECT(ADDRESS(8,ROW()-2+81)&amp;":"&amp;ADDRESS(500,ROW()-2+81)),"&gt;="&amp;Main!$I$2,$C$8:$C$500,"="&amp;BO$19)/BO$20*100,"rem")</f>
        <v>rem</v>
      </c>
      <c r="BP4" s="28" t="str">
        <f ca="1">IF(COUNTIFS(INDIRECT(ADDRESS(8,ROW()-2+81)&amp;":"&amp;ADDRESS(500,ROW()-2+81)),"&gt;="&amp;Main!$I$2)&gt;0,COUNTIFS(INDIRECT(ADDRESS(8,ROW()-2+81)&amp;":"&amp;ADDRESS(500,ROW()-2+81)),"&gt;="&amp;Main!$I$2)/BP$20*100,"rem")</f>
        <v>rem</v>
      </c>
      <c r="BQ4">
        <f>VALUE(Main!$M$2)</f>
        <v>60</v>
      </c>
      <c r="BS4">
        <v>4</v>
      </c>
      <c r="BT4">
        <f>BS4</f>
        <v>4</v>
      </c>
      <c r="BU4" t="e">
        <f>_xlfn.NORM.DIST(BT4,$BT$1,$BT$2,FALSE)*0.39*$BT$3</f>
        <v>#DIV/0!</v>
      </c>
      <c r="BV4" s="28"/>
      <c r="BW4" t="str">
        <f>IF(BV4&lt;&gt;"",$BV$2,"")</f>
        <v/>
      </c>
      <c r="BX4" t="s">
        <v>241</v>
      </c>
      <c r="BY4" s="97">
        <f>COUNTIFS($G$8:$G$420,"="&amp;BX4,$C$8:$C$420,"&lt;&gt;R")</f>
        <v>0</v>
      </c>
      <c r="BZ4" s="97" t="str">
        <v>U</v>
      </c>
    </row>
    <row r="5" spans="4:101" x14ac:dyDescent="0.3">
      <c r="D5" s="162" t="s">
        <v>609</v>
      </c>
      <c r="E5" s="162"/>
      <c r="F5" s="162"/>
      <c r="G5" s="162"/>
      <c r="H5" s="162"/>
      <c r="I5" s="162"/>
      <c r="J5" s="162"/>
      <c r="K5" s="162"/>
      <c r="L5" s="162"/>
      <c r="M5" s="162"/>
      <c r="N5" s="162"/>
      <c r="O5" s="162"/>
      <c r="P5" s="162"/>
      <c r="Q5" s="162"/>
      <c r="BJ5" t="s">
        <v>370</v>
      </c>
      <c r="BK5" s="28" t="str">
        <f ca="1">IF(COUNTIFS(INDIRECT(ADDRESS(8,ROW()-2+81)&amp;":"&amp;ADDRESS(500,ROW()-2+81)),"&gt;="&amp;Main!$I$2,$C$8:$C$500,"="&amp;BK$19)&gt;0,COUNTIFS(INDIRECT(ADDRESS(8,ROW()-2+81)&amp;":"&amp;ADDRESS(500,ROW()-2+81)),"&gt;="&amp;Main!$I$2,$C$8:$C$500,"="&amp;BK$19)/BK$20*100,"rem")</f>
        <v>rem</v>
      </c>
      <c r="BL5" s="28" t="str">
        <f ca="1">IF(COUNTIFS(INDIRECT(ADDRESS(8,ROW()-2+81)&amp;":"&amp;ADDRESS(500,ROW()-2+81)),"&gt;="&amp;Main!$I$2,$C$8:$C$500,"="&amp;BL$19)&gt;0,COUNTIFS(INDIRECT(ADDRESS(8,ROW()-2+81)&amp;":"&amp;ADDRESS(500,ROW()-2+81)),"&gt;="&amp;Main!$I$2,$C$8:$C$500,"="&amp;BL$19)/BL$20*100,"rem")</f>
        <v>rem</v>
      </c>
      <c r="BM5" s="28" t="str">
        <f ca="1">IF(COUNTIFS(INDIRECT(ADDRESS(8,ROW()-2+81)&amp;":"&amp;ADDRESS(500,ROW()-2+81)),"&gt;="&amp;Main!$I$2,$C$8:$C$500,"="&amp;BM$19)&gt;0,COUNTIFS(INDIRECT(ADDRESS(8,ROW()-2+81)&amp;":"&amp;ADDRESS(500,ROW()-2+81)),"&gt;="&amp;Main!$I$2,$C$8:$C$500,"="&amp;BM$19)/BM$20*100,"rem")</f>
        <v>rem</v>
      </c>
      <c r="BN5" s="28" t="str">
        <f ca="1">IF(COUNTIFS(INDIRECT(ADDRESS(8,ROW()-2+81)&amp;":"&amp;ADDRESS(500,ROW()-2+81)),"&gt;="&amp;Main!$I$2,$C$8:$C$500,"="&amp;BN$19)&gt;0,COUNTIFS(INDIRECT(ADDRESS(8,ROW()-2+81)&amp;":"&amp;ADDRESS(500,ROW()-2+81)),"&gt;="&amp;Main!$I$2,$C$8:$C$500,"="&amp;BN$19)/BN$20*100,"rem")</f>
        <v>rem</v>
      </c>
      <c r="BO5" s="28" t="str">
        <f ca="1">IF(COUNTIFS(INDIRECT(ADDRESS(8,ROW()-2+81)&amp;":"&amp;ADDRESS(500,ROW()-2+81)),"&gt;="&amp;Main!$I$2,$C$8:$C$500,"="&amp;BO$19)&gt;0,COUNTIFS(INDIRECT(ADDRESS(8,ROW()-2+81)&amp;":"&amp;ADDRESS(500,ROW()-2+81)),"&gt;="&amp;Main!$I$2,$C$8:$C$500,"="&amp;BO$19)/BO$20*100,"rem")</f>
        <v>rem</v>
      </c>
      <c r="BP5" s="28" t="str">
        <f ca="1">IF(COUNTIFS(INDIRECT(ADDRESS(8,ROW()-2+81)&amp;":"&amp;ADDRESS(500,ROW()-2+81)),"&gt;="&amp;Main!$I$2)&gt;0,COUNTIFS(INDIRECT(ADDRESS(8,ROW()-2+81)&amp;":"&amp;ADDRESS(500,ROW()-2+81)),"&gt;="&amp;Main!$I$2)/BP$20*100,"rem")</f>
        <v>rem</v>
      </c>
      <c r="BQ5">
        <f>VALUE(Main!$M$2)</f>
        <v>60</v>
      </c>
      <c r="BT5">
        <f>BT4-0.11</f>
        <v>3.89</v>
      </c>
      <c r="BU5" t="e">
        <f t="shared" ref="BU5:BU40" si="1">_xlfn.NORM.DIST(BT5,$BT$1,$BT$2,FALSE)*0.39*$BT$3</f>
        <v>#DIV/0!</v>
      </c>
      <c r="BV5" s="28" t="e">
        <f>IF(AND($BT$1&lt;BT4,$BT$1&gt;=BT5),"Mean GPA "&amp;$BT$1,"")</f>
        <v>#DIV/0!</v>
      </c>
      <c r="BW5" t="e">
        <f t="shared" ref="BW5:BW40" si="2">IF(BV5&lt;&gt;"",$BV$2,"")</f>
        <v>#DIV/0!</v>
      </c>
      <c r="BX5" t="s">
        <v>243</v>
      </c>
      <c r="BY5" s="97">
        <f t="shared" ref="BY5:BY12" si="3">COUNTIFS($G$8:$G$420,"="&amp;BX5,$C$8:$C$420,"&lt;&gt;R")</f>
        <v>0</v>
      </c>
      <c r="BZ5" s="97" t="str">
        <v>T</v>
      </c>
    </row>
    <row r="6" spans="4:101" x14ac:dyDescent="0.3">
      <c r="AK6" t="s">
        <v>730</v>
      </c>
      <c r="BJ6" t="s">
        <v>371</v>
      </c>
      <c r="BK6" s="28" t="str">
        <f ca="1">IF(COUNTIFS(INDIRECT(ADDRESS(8,ROW()-2+81)&amp;":"&amp;ADDRESS(500,ROW()-2+81)),"&gt;="&amp;Main!$I$2,$C$8:$C$500,"="&amp;BK$19)&gt;0,COUNTIFS(INDIRECT(ADDRESS(8,ROW()-2+81)&amp;":"&amp;ADDRESS(500,ROW()-2+81)),"&gt;="&amp;Main!$I$2,$C$8:$C$500,"="&amp;BK$19)/BK$20*100,"rem")</f>
        <v>rem</v>
      </c>
      <c r="BL6" s="28" t="str">
        <f ca="1">IF(COUNTIFS(INDIRECT(ADDRESS(8,ROW()-2+81)&amp;":"&amp;ADDRESS(500,ROW()-2+81)),"&gt;="&amp;Main!$I$2,$C$8:$C$500,"="&amp;BL$19)&gt;0,COUNTIFS(INDIRECT(ADDRESS(8,ROW()-2+81)&amp;":"&amp;ADDRESS(500,ROW()-2+81)),"&gt;="&amp;Main!$I$2,$C$8:$C$500,"="&amp;BL$19)/BL$20*100,"rem")</f>
        <v>rem</v>
      </c>
      <c r="BM6" s="28" t="str">
        <f ca="1">IF(COUNTIFS(INDIRECT(ADDRESS(8,ROW()-2+81)&amp;":"&amp;ADDRESS(500,ROW()-2+81)),"&gt;="&amp;Main!$I$2,$C$8:$C$500,"="&amp;BM$19)&gt;0,COUNTIFS(INDIRECT(ADDRESS(8,ROW()-2+81)&amp;":"&amp;ADDRESS(500,ROW()-2+81)),"&gt;="&amp;Main!$I$2,$C$8:$C$500,"="&amp;BM$19)/BM$20*100,"rem")</f>
        <v>rem</v>
      </c>
      <c r="BN6" s="28" t="str">
        <f ca="1">IF(COUNTIFS(INDIRECT(ADDRESS(8,ROW()-2+81)&amp;":"&amp;ADDRESS(500,ROW()-2+81)),"&gt;="&amp;Main!$I$2,$C$8:$C$500,"="&amp;BN$19)&gt;0,COUNTIFS(INDIRECT(ADDRESS(8,ROW()-2+81)&amp;":"&amp;ADDRESS(500,ROW()-2+81)),"&gt;="&amp;Main!$I$2,$C$8:$C$500,"="&amp;BN$19)/BN$20*100,"rem")</f>
        <v>rem</v>
      </c>
      <c r="BO6" s="28" t="str">
        <f ca="1">IF(COUNTIFS(INDIRECT(ADDRESS(8,ROW()-2+81)&amp;":"&amp;ADDRESS(500,ROW()-2+81)),"&gt;="&amp;Main!$I$2,$C$8:$C$500,"="&amp;BO$19)&gt;0,COUNTIFS(INDIRECT(ADDRESS(8,ROW()-2+81)&amp;":"&amp;ADDRESS(500,ROW()-2+81)),"&gt;="&amp;Main!$I$2,$C$8:$C$500,"="&amp;BO$19)/BO$20*100,"rem")</f>
        <v>rem</v>
      </c>
      <c r="BP6" s="28" t="str">
        <f ca="1">IF(COUNTIFS(INDIRECT(ADDRESS(8,ROW()-2+81)&amp;":"&amp;ADDRESS(500,ROW()-2+81)),"&gt;="&amp;Main!$I$2)&gt;0,COUNTIFS(INDIRECT(ADDRESS(8,ROW()-2+81)&amp;":"&amp;ADDRESS(500,ROW()-2+81)),"&gt;="&amp;Main!$I$2)/BP$20*100,"rem")</f>
        <v>rem</v>
      </c>
      <c r="BQ6">
        <f>VALUE(Main!$M$2)</f>
        <v>60</v>
      </c>
      <c r="BT6">
        <f t="shared" ref="BT6:BT39" si="4">BT5-0.11</f>
        <v>3.7800000000000002</v>
      </c>
      <c r="BU6" t="e">
        <f t="shared" si="1"/>
        <v>#DIV/0!</v>
      </c>
      <c r="BV6" s="28" t="e">
        <f t="shared" ref="BV6:BV39" si="5">IF(AND($BT$1&lt;BT5,$BT$1&gt;=BT6),"Mean GPA "&amp;$BT$1,"")</f>
        <v>#DIV/0!</v>
      </c>
      <c r="BW6" t="e">
        <f t="shared" si="2"/>
        <v>#DIV/0!</v>
      </c>
      <c r="BX6" t="s">
        <v>244</v>
      </c>
      <c r="BY6" s="97">
        <f t="shared" si="3"/>
        <v>0</v>
      </c>
      <c r="BZ6" s="97" t="str">
        <v>C</v>
      </c>
      <c r="CV6" s="82" t="s">
        <v>734</v>
      </c>
    </row>
    <row r="7" spans="4:101" x14ac:dyDescent="0.3">
      <c r="BJ7" s="27" t="s">
        <v>226</v>
      </c>
      <c r="BK7" s="28" t="str">
        <f ca="1">IF(COUNTIFS(INDIRECT(ADDRESS(8,ROW()-7+86)&amp;":"&amp;ADDRESS(500,ROW()-7+86)),"&gt;="&amp;Main!$I$1,$C$8:$C$500,"="&amp;BK$19)&gt;0,COUNTIFS(INDIRECT(ADDRESS(8,ROW()-7+86)&amp;":"&amp;ADDRESS(500,ROW()-7+86)),"&gt;="&amp;Main!$I$1,$C$8:$C$500,"="&amp;BK$19)/BK$20*100,"rem")</f>
        <v>rem</v>
      </c>
      <c r="BL7" s="28" t="str">
        <f ca="1">IF(COUNTIFS(INDIRECT(ADDRESS(8,ROW()-7+86)&amp;":"&amp;ADDRESS(500,ROW()-7+86)),"&gt;="&amp;Main!$I$1,$C$8:$C$500,"="&amp;BL$19)&gt;0,COUNTIFS(INDIRECT(ADDRESS(8,ROW()-7+86)&amp;":"&amp;ADDRESS(500,ROW()-7+86)),"&gt;="&amp;Main!$I$1,$C$8:$C$500,"="&amp;BL$19)/BL$20*100,"rem")</f>
        <v>rem</v>
      </c>
      <c r="BM7" s="28" t="str">
        <f ca="1">IF(COUNTIFS(INDIRECT(ADDRESS(8,ROW()-7+86)&amp;":"&amp;ADDRESS(500,ROW()-7+86)),"&gt;="&amp;Main!$I$1,$C$8:$C$500,"="&amp;BM$19)&gt;0,COUNTIFS(INDIRECT(ADDRESS(8,ROW()-7+86)&amp;":"&amp;ADDRESS(500,ROW()-7+86)),"&gt;="&amp;Main!$I$1,$C$8:$C$500,"="&amp;BM$19)/BM$20*100,"rem")</f>
        <v>rem</v>
      </c>
      <c r="BN7" s="28" t="str">
        <f ca="1">IF(COUNTIFS(INDIRECT(ADDRESS(8,ROW()-7+86)&amp;":"&amp;ADDRESS(500,ROW()-7+86)),"&gt;="&amp;Main!$I$1,$C$8:$C$500,"="&amp;BN$19)&gt;0,COUNTIFS(INDIRECT(ADDRESS(8,ROW()-7+86)&amp;":"&amp;ADDRESS(500,ROW()-7+86)),"&gt;="&amp;Main!$I$1,$C$8:$C$500,"="&amp;BN$19)/BN$20*100,"rem")</f>
        <v>rem</v>
      </c>
      <c r="BO7" s="28" t="str">
        <f ca="1">IF(COUNTIFS(INDIRECT(ADDRESS(8,ROW()-7+86)&amp;":"&amp;ADDRESS(500,ROW()-7+86)),"&gt;="&amp;Main!$I$1,$C$8:$C$500,"="&amp;BO$19)&gt;0,COUNTIFS(INDIRECT(ADDRESS(8,ROW()-7+86)&amp;":"&amp;ADDRESS(500,ROW()-7+86)),"&gt;="&amp;Main!$I$1,$C$8:$C$500,"="&amp;BO$19)/BO$20*100,"rem")</f>
        <v>rem</v>
      </c>
      <c r="BP7" s="28" t="str">
        <f ca="1">IF(COUNTIF(INDIRECT(ADDRESS(8,ROW()-7+86)&amp;":"&amp;ADDRESS(500,ROW()-7+86)),"&gt;="&amp;Main!$I$1)&gt;0,COUNTIF(INDIRECT(ADDRESS(8,ROW()-7+86)&amp;":"&amp;ADDRESS(500,ROW()-7+86)),"&gt;="&amp;Main!$I$1)/BP$20*100,"rem")</f>
        <v>rem</v>
      </c>
      <c r="BQ7">
        <f>VALUE(Main!$M$1)</f>
        <v>60</v>
      </c>
      <c r="BS7">
        <v>3.67</v>
      </c>
      <c r="BT7">
        <f t="shared" si="4"/>
        <v>3.6700000000000004</v>
      </c>
      <c r="BU7" t="e">
        <f t="shared" si="1"/>
        <v>#DIV/0!</v>
      </c>
      <c r="BV7" s="28" t="e">
        <f t="shared" si="5"/>
        <v>#DIV/0!</v>
      </c>
      <c r="BW7" t="e">
        <f t="shared" si="2"/>
        <v>#DIV/0!</v>
      </c>
      <c r="BX7" t="s">
        <v>240</v>
      </c>
      <c r="BY7" s="97">
        <f t="shared" si="3"/>
        <v>0</v>
      </c>
      <c r="BZ7" s="97" t="str">
        <v>M</v>
      </c>
      <c r="CC7" s="28" t="s">
        <v>118</v>
      </c>
      <c r="CD7" s="28" t="s">
        <v>120</v>
      </c>
      <c r="CE7" s="28" t="s">
        <v>121</v>
      </c>
      <c r="CF7" s="28" t="s">
        <v>370</v>
      </c>
      <c r="CG7" s="28" t="s">
        <v>371</v>
      </c>
      <c r="CH7" s="28" t="s">
        <v>226</v>
      </c>
      <c r="CI7" s="28" t="s">
        <v>227</v>
      </c>
      <c r="CJ7" s="28" t="s">
        <v>228</v>
      </c>
      <c r="CK7" s="28" t="s">
        <v>229</v>
      </c>
      <c r="CL7" s="28" t="s">
        <v>230</v>
      </c>
      <c r="CM7" s="28" t="s">
        <v>231</v>
      </c>
      <c r="CN7" s="28" t="s">
        <v>232</v>
      </c>
      <c r="CO7" s="28" t="s">
        <v>233</v>
      </c>
      <c r="CP7" s="28" t="s">
        <v>234</v>
      </c>
      <c r="CQ7" s="28" t="s">
        <v>235</v>
      </c>
      <c r="CR7" s="28" t="s">
        <v>236</v>
      </c>
      <c r="CS7" s="28" t="s">
        <v>237</v>
      </c>
      <c r="CV7" s="28" t="s">
        <v>731</v>
      </c>
    </row>
    <row r="8" spans="4:101" x14ac:dyDescent="0.3">
      <c r="BJ8" t="s">
        <v>227</v>
      </c>
      <c r="BK8" s="28" t="str">
        <f ca="1">IF(COUNTIFS(INDIRECT(ADDRESS(8,ROW()-7+86)&amp;":"&amp;ADDRESS(500,ROW()-7+86)),"&gt;="&amp;Main!$I$1,$C$8:$C$500,"="&amp;BK$19)&gt;0,COUNTIFS(INDIRECT(ADDRESS(8,ROW()-7+86)&amp;":"&amp;ADDRESS(500,ROW()-7+86)),"&gt;="&amp;Main!$I$1,$C$8:$C$500,"="&amp;BK$19)/BK$20*100,"rem")</f>
        <v>rem</v>
      </c>
      <c r="BL8" s="28" t="str">
        <f ca="1">IF(COUNTIFS(INDIRECT(ADDRESS(8,ROW()-7+86)&amp;":"&amp;ADDRESS(500,ROW()-7+86)),"&gt;="&amp;Main!$I$1,$C$8:$C$500,"="&amp;BL$19)&gt;0,COUNTIFS(INDIRECT(ADDRESS(8,ROW()-7+86)&amp;":"&amp;ADDRESS(500,ROW()-7+86)),"&gt;="&amp;Main!$I$1,$C$8:$C$500,"="&amp;BL$19)/BL$20*100,"rem")</f>
        <v>rem</v>
      </c>
      <c r="BM8" s="28" t="str">
        <f ca="1">IF(COUNTIFS(INDIRECT(ADDRESS(8,ROW()-7+86)&amp;":"&amp;ADDRESS(500,ROW()-7+86)),"&gt;="&amp;Main!$I$1,$C$8:$C$500,"="&amp;BM$19)&gt;0,COUNTIFS(INDIRECT(ADDRESS(8,ROW()-7+86)&amp;":"&amp;ADDRESS(500,ROW()-7+86)),"&gt;="&amp;Main!$I$1,$C$8:$C$500,"="&amp;BM$19)/BM$20*100,"rem")</f>
        <v>rem</v>
      </c>
      <c r="BN8" s="28" t="str">
        <f ca="1">IF(COUNTIFS(INDIRECT(ADDRESS(8,ROW()-7+86)&amp;":"&amp;ADDRESS(500,ROW()-7+86)),"&gt;="&amp;Main!$I$1,$C$8:$C$500,"="&amp;BN$19)&gt;0,COUNTIFS(INDIRECT(ADDRESS(8,ROW()-7+86)&amp;":"&amp;ADDRESS(500,ROW()-7+86)),"&gt;="&amp;Main!$I$1,$C$8:$C$500,"="&amp;BN$19)/BN$20*100,"rem")</f>
        <v>rem</v>
      </c>
      <c r="BO8" s="28" t="str">
        <f ca="1">IF(COUNTIFS(INDIRECT(ADDRESS(8,ROW()-7+86)&amp;":"&amp;ADDRESS(500,ROW()-7+86)),"&gt;="&amp;Main!$I$1,$C$8:$C$500,"="&amp;BO$19)&gt;0,COUNTIFS(INDIRECT(ADDRESS(8,ROW()-7+86)&amp;":"&amp;ADDRESS(500,ROW()-7+86)),"&gt;="&amp;Main!$I$1,$C$8:$C$500,"="&amp;BO$19)/BO$20*100,"rem")</f>
        <v>rem</v>
      </c>
      <c r="BP8" s="28" t="str">
        <f ca="1">IF(COUNTIF(INDIRECT(ADDRESS(8,ROW()-7+86)&amp;":"&amp;ADDRESS(500,ROW()-7+86)),"&gt;="&amp;Main!$I$1)&gt;0,COUNTIF(INDIRECT(ADDRESS(8,ROW()-7+86)&amp;":"&amp;ADDRESS(500,ROW()-7+86)),"&gt;="&amp;Main!$I$1)/BP$20*100,"rem")</f>
        <v>rem</v>
      </c>
      <c r="BQ8">
        <f>VALUE(Main!$M$1)</f>
        <v>60</v>
      </c>
      <c r="BT8">
        <f t="shared" si="4"/>
        <v>3.5600000000000005</v>
      </c>
      <c r="BU8" t="e">
        <f t="shared" si="1"/>
        <v>#DIV/0!</v>
      </c>
      <c r="BV8" s="28" t="e">
        <f t="shared" si="5"/>
        <v>#DIV/0!</v>
      </c>
      <c r="BW8" t="e">
        <f t="shared" si="2"/>
        <v>#DIV/0!</v>
      </c>
      <c r="BX8" t="s">
        <v>245</v>
      </c>
      <c r="BY8" s="97">
        <f t="shared" si="3"/>
        <v>0</v>
      </c>
      <c r="BZ8" s="97" t="str">
        <v>E</v>
      </c>
      <c r="CC8" s="28"/>
      <c r="CD8" s="28"/>
      <c r="CE8" s="28"/>
      <c r="CF8" s="28"/>
      <c r="CG8" s="28"/>
      <c r="CH8" s="28"/>
      <c r="CI8" s="28"/>
      <c r="CJ8" s="28"/>
      <c r="CK8" s="28"/>
      <c r="CL8" s="28"/>
      <c r="CM8" s="28"/>
      <c r="CN8" s="28"/>
      <c r="CO8" s="28"/>
      <c r="CP8" s="28"/>
      <c r="CQ8" s="28"/>
      <c r="CR8" s="28"/>
      <c r="CS8" s="28"/>
      <c r="CV8">
        <f>ROUND((COUNTA(B:B)-1)*0.1,0)</f>
        <v>0</v>
      </c>
      <c r="CW8" t="e" cm="1">
        <f t="array" aca="1" ref="CW8" ca="1">SUM(INDIRECT("CU8:CU"&amp;7+CV8)/CV8)</f>
        <v>#DIV/0!</v>
      </c>
    </row>
    <row r="9" spans="4:101" x14ac:dyDescent="0.3">
      <c r="BJ9" s="27" t="s">
        <v>228</v>
      </c>
      <c r="BK9" s="28" t="str">
        <f ca="1">IF(COUNTIFS(INDIRECT(ADDRESS(8,ROW()-7+86)&amp;":"&amp;ADDRESS(500,ROW()-7+86)),"&gt;="&amp;Main!$I$1,$C$8:$C$500,"="&amp;BK$19)&gt;0,COUNTIFS(INDIRECT(ADDRESS(8,ROW()-7+86)&amp;":"&amp;ADDRESS(500,ROW()-7+86)),"&gt;="&amp;Main!$I$1,$C$8:$C$500,"="&amp;BK$19)/BK$20*100,"rem")</f>
        <v>rem</v>
      </c>
      <c r="BL9" s="28" t="str">
        <f ca="1">IF(COUNTIFS(INDIRECT(ADDRESS(8,ROW()-7+86)&amp;":"&amp;ADDRESS(500,ROW()-7+86)),"&gt;="&amp;Main!$I$1,$C$8:$C$500,"="&amp;BL$19)&gt;0,COUNTIFS(INDIRECT(ADDRESS(8,ROW()-7+86)&amp;":"&amp;ADDRESS(500,ROW()-7+86)),"&gt;="&amp;Main!$I$1,$C$8:$C$500,"="&amp;BL$19)/BL$20*100,"rem")</f>
        <v>rem</v>
      </c>
      <c r="BM9" s="28" t="str">
        <f ca="1">IF(COUNTIFS(INDIRECT(ADDRESS(8,ROW()-7+86)&amp;":"&amp;ADDRESS(500,ROW()-7+86)),"&gt;="&amp;Main!$I$1,$C$8:$C$500,"="&amp;BM$19)&gt;0,COUNTIFS(INDIRECT(ADDRESS(8,ROW()-7+86)&amp;":"&amp;ADDRESS(500,ROW()-7+86)),"&gt;="&amp;Main!$I$1,$C$8:$C$500,"="&amp;BM$19)/BM$20*100,"rem")</f>
        <v>rem</v>
      </c>
      <c r="BN9" s="28" t="str">
        <f ca="1">IF(COUNTIFS(INDIRECT(ADDRESS(8,ROW()-7+86)&amp;":"&amp;ADDRESS(500,ROW()-7+86)),"&gt;="&amp;Main!$I$1,$C$8:$C$500,"="&amp;BN$19)&gt;0,COUNTIFS(INDIRECT(ADDRESS(8,ROW()-7+86)&amp;":"&amp;ADDRESS(500,ROW()-7+86)),"&gt;="&amp;Main!$I$1,$C$8:$C$500,"="&amp;BN$19)/BN$20*100,"rem")</f>
        <v>rem</v>
      </c>
      <c r="BO9" s="28" t="str">
        <f ca="1">IF(COUNTIFS(INDIRECT(ADDRESS(8,ROW()-7+86)&amp;":"&amp;ADDRESS(500,ROW()-7+86)),"&gt;="&amp;Main!$I$1,$C$8:$C$500,"="&amp;BO$19)&gt;0,COUNTIFS(INDIRECT(ADDRESS(8,ROW()-7+86)&amp;":"&amp;ADDRESS(500,ROW()-7+86)),"&gt;="&amp;Main!$I$1,$C$8:$C$500,"="&amp;BO$19)/BO$20*100,"rem")</f>
        <v>rem</v>
      </c>
      <c r="BP9" s="28" t="str">
        <f ca="1">IF(COUNTIF(INDIRECT(ADDRESS(8,ROW()-7+86)&amp;":"&amp;ADDRESS(500,ROW()-7+86)),"&gt;="&amp;Main!$I$1)&gt;0,COUNTIF(INDIRECT(ADDRESS(8,ROW()-7+86)&amp;":"&amp;ADDRESS(500,ROW()-7+86)),"&gt;="&amp;Main!$I$1)/BP$20*100,"rem")</f>
        <v>rem</v>
      </c>
      <c r="BQ9">
        <f>VALUE(Main!$M$1)</f>
        <v>60</v>
      </c>
      <c r="BT9">
        <f t="shared" si="4"/>
        <v>3.4500000000000006</v>
      </c>
      <c r="BU9" t="e">
        <f t="shared" si="1"/>
        <v>#DIV/0!</v>
      </c>
      <c r="BV9" s="28" t="e">
        <f t="shared" si="5"/>
        <v>#DIV/0!</v>
      </c>
      <c r="BW9" t="e">
        <f t="shared" si="2"/>
        <v>#DIV/0!</v>
      </c>
      <c r="BX9" t="s">
        <v>246</v>
      </c>
      <c r="BY9" s="97">
        <f t="shared" si="3"/>
        <v>0</v>
      </c>
      <c r="CC9" s="28"/>
      <c r="CD9" s="28"/>
      <c r="CE9" s="28"/>
      <c r="CF9" s="28"/>
      <c r="CG9" s="28"/>
      <c r="CH9" s="28"/>
      <c r="CI9" s="28"/>
      <c r="CJ9" s="28"/>
      <c r="CK9" s="28"/>
      <c r="CL9" s="28"/>
      <c r="CM9" s="28"/>
      <c r="CN9" s="28"/>
      <c r="CO9" s="28"/>
      <c r="CP9" s="28"/>
      <c r="CQ9" s="28"/>
      <c r="CR9" s="28"/>
      <c r="CS9" s="28"/>
      <c r="CV9">
        <v>7</v>
      </c>
      <c r="CW9" cm="1">
        <f t="array" aca="1" ref="CW9" ca="1">SUM(INDIRECT("CU8:CU"&amp;7+CV9)/CV9)</f>
        <v>0</v>
      </c>
    </row>
    <row r="10" spans="4:101" x14ac:dyDescent="0.3">
      <c r="BJ10" t="s">
        <v>229</v>
      </c>
      <c r="BK10" s="28" t="str">
        <f ca="1">IF(COUNTIFS(INDIRECT(ADDRESS(8,ROW()-7+86)&amp;":"&amp;ADDRESS(500,ROW()-7+86)),"&gt;="&amp;Main!$I$1,$C$8:$C$500,"="&amp;BK$19)&gt;0,COUNTIFS(INDIRECT(ADDRESS(8,ROW()-7+86)&amp;":"&amp;ADDRESS(500,ROW()-7+86)),"&gt;="&amp;Main!$I$1,$C$8:$C$500,"="&amp;BK$19)/BK$20*100,"rem")</f>
        <v>rem</v>
      </c>
      <c r="BL10" s="28" t="str">
        <f ca="1">IF(COUNTIFS(INDIRECT(ADDRESS(8,ROW()-7+86)&amp;":"&amp;ADDRESS(500,ROW()-7+86)),"&gt;="&amp;Main!$I$1,$C$8:$C$500,"="&amp;BL$19)&gt;0,COUNTIFS(INDIRECT(ADDRESS(8,ROW()-7+86)&amp;":"&amp;ADDRESS(500,ROW()-7+86)),"&gt;="&amp;Main!$I$1,$C$8:$C$500,"="&amp;BL$19)/BL$20*100,"rem")</f>
        <v>rem</v>
      </c>
      <c r="BM10" s="28" t="str">
        <f ca="1">IF(COUNTIFS(INDIRECT(ADDRESS(8,ROW()-7+86)&amp;":"&amp;ADDRESS(500,ROW()-7+86)),"&gt;="&amp;Main!$I$1,$C$8:$C$500,"="&amp;BM$19)&gt;0,COUNTIFS(INDIRECT(ADDRESS(8,ROW()-7+86)&amp;":"&amp;ADDRESS(500,ROW()-7+86)),"&gt;="&amp;Main!$I$1,$C$8:$C$500,"="&amp;BM$19)/BM$20*100,"rem")</f>
        <v>rem</v>
      </c>
      <c r="BN10" s="28" t="str">
        <f ca="1">IF(COUNTIFS(INDIRECT(ADDRESS(8,ROW()-7+86)&amp;":"&amp;ADDRESS(500,ROW()-7+86)),"&gt;="&amp;Main!$I$1,$C$8:$C$500,"="&amp;BN$19)&gt;0,COUNTIFS(INDIRECT(ADDRESS(8,ROW()-7+86)&amp;":"&amp;ADDRESS(500,ROW()-7+86)),"&gt;="&amp;Main!$I$1,$C$8:$C$500,"="&amp;BN$19)/BN$20*100,"rem")</f>
        <v>rem</v>
      </c>
      <c r="BO10" s="28" t="str">
        <f ca="1">IF(COUNTIFS(INDIRECT(ADDRESS(8,ROW()-7+86)&amp;":"&amp;ADDRESS(500,ROW()-7+86)),"&gt;="&amp;Main!$I$1,$C$8:$C$500,"="&amp;BO$19)&gt;0,COUNTIFS(INDIRECT(ADDRESS(8,ROW()-7+86)&amp;":"&amp;ADDRESS(500,ROW()-7+86)),"&gt;="&amp;Main!$I$1,$C$8:$C$500,"="&amp;BO$19)/BO$20*100,"rem")</f>
        <v>rem</v>
      </c>
      <c r="BP10" s="28" t="str">
        <f ca="1">IF(COUNTIF(INDIRECT(ADDRESS(8,ROW()-7+86)&amp;":"&amp;ADDRESS(500,ROW()-7+86)),"&gt;="&amp;Main!$I$1)&gt;0,COUNTIF(INDIRECT(ADDRESS(8,ROW()-7+86)&amp;":"&amp;ADDRESS(500,ROW()-7+86)),"&gt;="&amp;Main!$I$1)/BP$20*100,"rem")</f>
        <v>rem</v>
      </c>
      <c r="BQ10">
        <f>VALUE(Main!$M$1)</f>
        <v>60</v>
      </c>
      <c r="BS10">
        <v>3.33</v>
      </c>
      <c r="BT10">
        <f t="shared" si="4"/>
        <v>3.3400000000000007</v>
      </c>
      <c r="BU10" t="e">
        <f t="shared" si="1"/>
        <v>#DIV/0!</v>
      </c>
      <c r="BV10" s="28" t="e">
        <f t="shared" si="5"/>
        <v>#DIV/0!</v>
      </c>
      <c r="BW10" t="e">
        <f t="shared" si="2"/>
        <v>#DIV/0!</v>
      </c>
      <c r="BX10" t="s">
        <v>119</v>
      </c>
      <c r="BY10" s="97">
        <f t="shared" si="3"/>
        <v>0</v>
      </c>
      <c r="CC10" s="28"/>
      <c r="CD10" s="28"/>
      <c r="CE10" s="28"/>
      <c r="CF10" s="28"/>
      <c r="CG10" s="28"/>
      <c r="CH10" s="28"/>
      <c r="CI10" s="28"/>
      <c r="CJ10" s="28"/>
      <c r="CK10" s="28"/>
      <c r="CL10" s="28"/>
      <c r="CM10" s="28"/>
      <c r="CN10" s="28"/>
      <c r="CO10" s="28"/>
      <c r="CP10" s="28"/>
      <c r="CQ10" s="28"/>
      <c r="CR10" s="28"/>
      <c r="CS10" s="28"/>
      <c r="CV10">
        <v>8</v>
      </c>
      <c r="CW10" cm="1">
        <f t="array" aca="1" ref="CW10" ca="1">SUM(INDIRECT("CU8:CU"&amp;7+CV10)/CV10)</f>
        <v>0</v>
      </c>
    </row>
    <row r="11" spans="4:101" x14ac:dyDescent="0.3">
      <c r="BJ11" s="27" t="s">
        <v>230</v>
      </c>
      <c r="BK11" s="28" t="str">
        <f ca="1">IF(COUNTIFS(INDIRECT(ADDRESS(8,ROW()-7+86)&amp;":"&amp;ADDRESS(500,ROW()-7+86)),"&gt;="&amp;Main!$I$1,$C$8:$C$500,"="&amp;BK$19)&gt;0,COUNTIFS(INDIRECT(ADDRESS(8,ROW()-7+86)&amp;":"&amp;ADDRESS(500,ROW()-7+86)),"&gt;="&amp;Main!$I$1,$C$8:$C$500,"="&amp;BK$19)/BK$20*100,"rem")</f>
        <v>rem</v>
      </c>
      <c r="BL11" s="28" t="str">
        <f ca="1">IF(COUNTIFS(INDIRECT(ADDRESS(8,ROW()-7+86)&amp;":"&amp;ADDRESS(500,ROW()-7+86)),"&gt;="&amp;Main!$I$1,$C$8:$C$500,"="&amp;BL$19)&gt;0,COUNTIFS(INDIRECT(ADDRESS(8,ROW()-7+86)&amp;":"&amp;ADDRESS(500,ROW()-7+86)),"&gt;="&amp;Main!$I$1,$C$8:$C$500,"="&amp;BL$19)/BL$20*100,"rem")</f>
        <v>rem</v>
      </c>
      <c r="BM11" s="28" t="str">
        <f ca="1">IF(COUNTIFS(INDIRECT(ADDRESS(8,ROW()-7+86)&amp;":"&amp;ADDRESS(500,ROW()-7+86)),"&gt;="&amp;Main!$I$1,$C$8:$C$500,"="&amp;BM$19)&gt;0,COUNTIFS(INDIRECT(ADDRESS(8,ROW()-7+86)&amp;":"&amp;ADDRESS(500,ROW()-7+86)),"&gt;="&amp;Main!$I$1,$C$8:$C$500,"="&amp;BM$19)/BM$20*100,"rem")</f>
        <v>rem</v>
      </c>
      <c r="BN11" s="28" t="str">
        <f ca="1">IF(COUNTIFS(INDIRECT(ADDRESS(8,ROW()-7+86)&amp;":"&amp;ADDRESS(500,ROW()-7+86)),"&gt;="&amp;Main!$I$1,$C$8:$C$500,"="&amp;BN$19)&gt;0,COUNTIFS(INDIRECT(ADDRESS(8,ROW()-7+86)&amp;":"&amp;ADDRESS(500,ROW()-7+86)),"&gt;="&amp;Main!$I$1,$C$8:$C$500,"="&amp;BN$19)/BN$20*100,"rem")</f>
        <v>rem</v>
      </c>
      <c r="BO11" s="28" t="str">
        <f ca="1">IF(COUNTIFS(INDIRECT(ADDRESS(8,ROW()-7+86)&amp;":"&amp;ADDRESS(500,ROW()-7+86)),"&gt;="&amp;Main!$I$1,$C$8:$C$500,"="&amp;BO$19)&gt;0,COUNTIFS(INDIRECT(ADDRESS(8,ROW()-7+86)&amp;":"&amp;ADDRESS(500,ROW()-7+86)),"&gt;="&amp;Main!$I$1,$C$8:$C$500,"="&amp;BO$19)/BO$20*100,"rem")</f>
        <v>rem</v>
      </c>
      <c r="BP11" s="28" t="str">
        <f ca="1">IF(COUNTIF(INDIRECT(ADDRESS(8,ROW()-7+86)&amp;":"&amp;ADDRESS(500,ROW()-7+86)),"&gt;="&amp;Main!$I$1)&gt;0,COUNTIF(INDIRECT(ADDRESS(8,ROW()-7+86)&amp;":"&amp;ADDRESS(500,ROW()-7+86)),"&gt;="&amp;Main!$I$1)/BP$20*100,"rem")</f>
        <v>rem</v>
      </c>
      <c r="BQ11">
        <f>VALUE(Main!$M$1)</f>
        <v>60</v>
      </c>
      <c r="BT11">
        <f t="shared" si="4"/>
        <v>3.2300000000000009</v>
      </c>
      <c r="BU11" t="e">
        <f t="shared" si="1"/>
        <v>#DIV/0!</v>
      </c>
      <c r="BV11" s="28" t="e">
        <f t="shared" si="5"/>
        <v>#DIV/0!</v>
      </c>
      <c r="BW11" t="e">
        <f t="shared" si="2"/>
        <v>#DIV/0!</v>
      </c>
      <c r="BX11" t="s">
        <v>247</v>
      </c>
      <c r="BY11" s="97">
        <f t="shared" si="3"/>
        <v>0</v>
      </c>
      <c r="CC11" s="28"/>
      <c r="CD11" s="28"/>
      <c r="CE11" s="28"/>
      <c r="CF11" s="28"/>
      <c r="CG11" s="28"/>
      <c r="CH11" s="28"/>
      <c r="CI11" s="28"/>
      <c r="CJ11" s="28"/>
      <c r="CK11" s="28"/>
      <c r="CL11" s="28"/>
      <c r="CM11" s="28"/>
      <c r="CN11" s="28"/>
      <c r="CO11" s="28"/>
      <c r="CP11" s="28"/>
      <c r="CQ11" s="28"/>
      <c r="CR11" s="28"/>
      <c r="CS11" s="28"/>
      <c r="CV11">
        <v>9</v>
      </c>
      <c r="CW11" cm="1">
        <f t="array" aca="1" ref="CW11" ca="1">SUM(INDIRECT("CU8:CU"&amp;7+CV11)/CV11)</f>
        <v>0</v>
      </c>
    </row>
    <row r="12" spans="4:101" x14ac:dyDescent="0.3">
      <c r="BJ12" t="s">
        <v>231</v>
      </c>
      <c r="BK12" s="28" t="str">
        <f ca="1">IF(COUNTIFS(INDIRECT(ADDRESS(8,ROW()-7+86)&amp;":"&amp;ADDRESS(500,ROW()-7+86)),"&gt;="&amp;Main!$I$1,$C$8:$C$500,"="&amp;BK$19)&gt;0,COUNTIFS(INDIRECT(ADDRESS(8,ROW()-7+86)&amp;":"&amp;ADDRESS(500,ROW()-7+86)),"&gt;="&amp;Main!$I$1,$C$8:$C$500,"="&amp;BK$19)/BK$20*100,"rem")</f>
        <v>rem</v>
      </c>
      <c r="BL12" s="28" t="str">
        <f ca="1">IF(COUNTIFS(INDIRECT(ADDRESS(8,ROW()-7+86)&amp;":"&amp;ADDRESS(500,ROW()-7+86)),"&gt;="&amp;Main!$I$1,$C$8:$C$500,"="&amp;BL$19)&gt;0,COUNTIFS(INDIRECT(ADDRESS(8,ROW()-7+86)&amp;":"&amp;ADDRESS(500,ROW()-7+86)),"&gt;="&amp;Main!$I$1,$C$8:$C$500,"="&amp;BL$19)/BL$20*100,"rem")</f>
        <v>rem</v>
      </c>
      <c r="BM12" s="28" t="str">
        <f ca="1">IF(COUNTIFS(INDIRECT(ADDRESS(8,ROW()-7+86)&amp;":"&amp;ADDRESS(500,ROW()-7+86)),"&gt;="&amp;Main!$I$1,$C$8:$C$500,"="&amp;BM$19)&gt;0,COUNTIFS(INDIRECT(ADDRESS(8,ROW()-7+86)&amp;":"&amp;ADDRESS(500,ROW()-7+86)),"&gt;="&amp;Main!$I$1,$C$8:$C$500,"="&amp;BM$19)/BM$20*100,"rem")</f>
        <v>rem</v>
      </c>
      <c r="BN12" s="28" t="str">
        <f ca="1">IF(COUNTIFS(INDIRECT(ADDRESS(8,ROW()-7+86)&amp;":"&amp;ADDRESS(500,ROW()-7+86)),"&gt;="&amp;Main!$I$1,$C$8:$C$500,"="&amp;BN$19)&gt;0,COUNTIFS(INDIRECT(ADDRESS(8,ROW()-7+86)&amp;":"&amp;ADDRESS(500,ROW()-7+86)),"&gt;="&amp;Main!$I$1,$C$8:$C$500,"="&amp;BN$19)/BN$20*100,"rem")</f>
        <v>rem</v>
      </c>
      <c r="BO12" s="28" t="str">
        <f ca="1">IF(COUNTIFS(INDIRECT(ADDRESS(8,ROW()-7+86)&amp;":"&amp;ADDRESS(500,ROW()-7+86)),"&gt;="&amp;Main!$I$1,$C$8:$C$500,"="&amp;BO$19)&gt;0,COUNTIFS(INDIRECT(ADDRESS(8,ROW()-7+86)&amp;":"&amp;ADDRESS(500,ROW()-7+86)),"&gt;="&amp;Main!$I$1,$C$8:$C$500,"="&amp;BO$19)/BO$20*100,"rem")</f>
        <v>rem</v>
      </c>
      <c r="BP12" s="28" t="str">
        <f ca="1">IF(COUNTIF(INDIRECT(ADDRESS(8,ROW()-7+86)&amp;":"&amp;ADDRESS(500,ROW()-7+86)),"&gt;="&amp;Main!$I$1)&gt;0,COUNTIF(INDIRECT(ADDRESS(8,ROW()-7+86)&amp;":"&amp;ADDRESS(500,ROW()-7+86)),"&gt;="&amp;Main!$I$1)/BP$20*100,"rem")</f>
        <v>rem</v>
      </c>
      <c r="BQ12">
        <f>VALUE(Main!$M$1)</f>
        <v>60</v>
      </c>
      <c r="BT12">
        <f t="shared" si="4"/>
        <v>3.120000000000001</v>
      </c>
      <c r="BU12" t="e">
        <f t="shared" si="1"/>
        <v>#DIV/0!</v>
      </c>
      <c r="BV12" s="28" t="e">
        <f t="shared" si="5"/>
        <v>#DIV/0!</v>
      </c>
      <c r="BW12" t="e">
        <f t="shared" si="2"/>
        <v>#DIV/0!</v>
      </c>
      <c r="BX12" t="s">
        <v>248</v>
      </c>
      <c r="BY12" s="97">
        <f t="shared" si="3"/>
        <v>0</v>
      </c>
      <c r="CC12" s="28"/>
      <c r="CD12" s="28"/>
      <c r="CE12" s="28"/>
      <c r="CF12" s="28"/>
      <c r="CG12" s="28"/>
      <c r="CH12" s="28"/>
      <c r="CI12" s="28"/>
      <c r="CJ12" s="28"/>
      <c r="CK12" s="28"/>
      <c r="CL12" s="28"/>
      <c r="CM12" s="28"/>
      <c r="CN12" s="28"/>
      <c r="CO12" s="28"/>
      <c r="CP12" s="28"/>
      <c r="CQ12" s="28"/>
      <c r="CR12" s="28"/>
      <c r="CS12" s="28"/>
      <c r="CV12">
        <v>10</v>
      </c>
      <c r="CW12" cm="1">
        <f t="array" aca="1" ref="CW12" ca="1">SUM(INDIRECT("CU8:CU"&amp;7+CV12)/CV12)</f>
        <v>0</v>
      </c>
    </row>
    <row r="13" spans="4:101" x14ac:dyDescent="0.3">
      <c r="BJ13" s="27" t="s">
        <v>232</v>
      </c>
      <c r="BK13" s="28" t="str">
        <f ca="1">IF(COUNTIFS(INDIRECT(ADDRESS(8,ROW()-7+86)&amp;":"&amp;ADDRESS(500,ROW()-7+86)),"&gt;="&amp;Main!$I$1,$C$8:$C$500,"="&amp;BK$19)&gt;0,COUNTIFS(INDIRECT(ADDRESS(8,ROW()-7+86)&amp;":"&amp;ADDRESS(500,ROW()-7+86)),"&gt;="&amp;Main!$I$1,$C$8:$C$500,"="&amp;BK$19)/BK$20*100,"rem")</f>
        <v>rem</v>
      </c>
      <c r="BL13" s="28" t="str">
        <f ca="1">IF(COUNTIFS(INDIRECT(ADDRESS(8,ROW()-7+86)&amp;":"&amp;ADDRESS(500,ROW()-7+86)),"&gt;="&amp;Main!$I$1,$C$8:$C$500,"="&amp;BL$19)&gt;0,COUNTIFS(INDIRECT(ADDRESS(8,ROW()-7+86)&amp;":"&amp;ADDRESS(500,ROW()-7+86)),"&gt;="&amp;Main!$I$1,$C$8:$C$500,"="&amp;BL$19)/BL$20*100,"rem")</f>
        <v>rem</v>
      </c>
      <c r="BM13" s="28" t="str">
        <f ca="1">IF(COUNTIFS(INDIRECT(ADDRESS(8,ROW()-7+86)&amp;":"&amp;ADDRESS(500,ROW()-7+86)),"&gt;="&amp;Main!$I$1,$C$8:$C$500,"="&amp;BM$19)&gt;0,COUNTIFS(INDIRECT(ADDRESS(8,ROW()-7+86)&amp;":"&amp;ADDRESS(500,ROW()-7+86)),"&gt;="&amp;Main!$I$1,$C$8:$C$500,"="&amp;BM$19)/BM$20*100,"rem")</f>
        <v>rem</v>
      </c>
      <c r="BN13" s="28" t="str">
        <f ca="1">IF(COUNTIFS(INDIRECT(ADDRESS(8,ROW()-7+86)&amp;":"&amp;ADDRESS(500,ROW()-7+86)),"&gt;="&amp;Main!$I$1,$C$8:$C$500,"="&amp;BN$19)&gt;0,COUNTIFS(INDIRECT(ADDRESS(8,ROW()-7+86)&amp;":"&amp;ADDRESS(500,ROW()-7+86)),"&gt;="&amp;Main!$I$1,$C$8:$C$500,"="&amp;BN$19)/BN$20*100,"rem")</f>
        <v>rem</v>
      </c>
      <c r="BO13" s="28" t="str">
        <f ca="1">IF(COUNTIFS(INDIRECT(ADDRESS(8,ROW()-7+86)&amp;":"&amp;ADDRESS(500,ROW()-7+86)),"&gt;="&amp;Main!$I$1,$C$8:$C$500,"="&amp;BO$19)&gt;0,COUNTIFS(INDIRECT(ADDRESS(8,ROW()-7+86)&amp;":"&amp;ADDRESS(500,ROW()-7+86)),"&gt;="&amp;Main!$I$1,$C$8:$C$500,"="&amp;BO$19)/BO$20*100,"rem")</f>
        <v>rem</v>
      </c>
      <c r="BP13" s="28" t="str">
        <f ca="1">IF(COUNTIF(INDIRECT(ADDRESS(8,ROW()-7+86)&amp;":"&amp;ADDRESS(500,ROW()-7+86)),"&gt;="&amp;Main!$I$1)&gt;0,COUNTIF(INDIRECT(ADDRESS(8,ROW()-7+86)&amp;":"&amp;ADDRESS(500,ROW()-7+86)),"&gt;="&amp;Main!$I$1)/BP$20*100,"rem")</f>
        <v>rem</v>
      </c>
      <c r="BQ13">
        <f>VALUE(Main!$M$1)</f>
        <v>60</v>
      </c>
      <c r="BS13">
        <v>3</v>
      </c>
      <c r="BT13">
        <f t="shared" si="4"/>
        <v>3.0100000000000011</v>
      </c>
      <c r="BU13" t="e">
        <f t="shared" si="1"/>
        <v>#DIV/0!</v>
      </c>
      <c r="BV13" s="28" t="e">
        <f t="shared" si="5"/>
        <v>#DIV/0!</v>
      </c>
      <c r="BW13" t="e">
        <f t="shared" si="2"/>
        <v>#DIV/0!</v>
      </c>
      <c r="BX13" t="s">
        <v>249</v>
      </c>
      <c r="BY13" s="97">
        <f>COUNTIFS($G$8:$G$420,"="&amp;BX13,$C$8:$C$420,"&lt;&gt;R")</f>
        <v>0</v>
      </c>
      <c r="CC13" s="28"/>
      <c r="CD13" s="28"/>
      <c r="CE13" s="28"/>
      <c r="CF13" s="28"/>
      <c r="CG13" s="28"/>
      <c r="CH13" s="28"/>
      <c r="CI13" s="28"/>
      <c r="CJ13" s="28"/>
      <c r="CK13" s="28"/>
      <c r="CL13" s="28"/>
      <c r="CM13" s="28"/>
      <c r="CN13" s="28"/>
      <c r="CO13" s="28"/>
      <c r="CP13" s="28"/>
      <c r="CQ13" s="28"/>
      <c r="CR13" s="28"/>
      <c r="CS13" s="28"/>
      <c r="CV13">
        <v>11</v>
      </c>
      <c r="CW13" cm="1">
        <f t="array" aca="1" ref="CW13" ca="1">SUM(INDIRECT("CU8:CU"&amp;7+CV13)/CV13)</f>
        <v>0</v>
      </c>
    </row>
    <row r="14" spans="4:101" x14ac:dyDescent="0.3">
      <c r="BJ14" t="s">
        <v>233</v>
      </c>
      <c r="BK14" s="28" t="str">
        <f ca="1">IF(COUNTIFS(INDIRECT(ADDRESS(8,ROW()-7+86)&amp;":"&amp;ADDRESS(500,ROW()-7+86)),"&gt;="&amp;Main!$I$1,$C$8:$C$500,"="&amp;BK$19)&gt;0,COUNTIFS(INDIRECT(ADDRESS(8,ROW()-7+86)&amp;":"&amp;ADDRESS(500,ROW()-7+86)),"&gt;="&amp;Main!$I$1,$C$8:$C$500,"="&amp;BK$19)/BK$20*100,"rem")</f>
        <v>rem</v>
      </c>
      <c r="BL14" s="28" t="str">
        <f ca="1">IF(COUNTIFS(INDIRECT(ADDRESS(8,ROW()-7+86)&amp;":"&amp;ADDRESS(500,ROW()-7+86)),"&gt;="&amp;Main!$I$1,$C$8:$C$500,"="&amp;BL$19)&gt;0,COUNTIFS(INDIRECT(ADDRESS(8,ROW()-7+86)&amp;":"&amp;ADDRESS(500,ROW()-7+86)),"&gt;="&amp;Main!$I$1,$C$8:$C$500,"="&amp;BL$19)/BL$20*100,"rem")</f>
        <v>rem</v>
      </c>
      <c r="BM14" s="28" t="str">
        <f ca="1">IF(COUNTIFS(INDIRECT(ADDRESS(8,ROW()-7+86)&amp;":"&amp;ADDRESS(500,ROW()-7+86)),"&gt;="&amp;Main!$I$1,$C$8:$C$500,"="&amp;BM$19)&gt;0,COUNTIFS(INDIRECT(ADDRESS(8,ROW()-7+86)&amp;":"&amp;ADDRESS(500,ROW()-7+86)),"&gt;="&amp;Main!$I$1,$C$8:$C$500,"="&amp;BM$19)/BM$20*100,"rem")</f>
        <v>rem</v>
      </c>
      <c r="BN14" s="28" t="str">
        <f ca="1">IF(COUNTIFS(INDIRECT(ADDRESS(8,ROW()-7+86)&amp;":"&amp;ADDRESS(500,ROW()-7+86)),"&gt;="&amp;Main!$I$1,$C$8:$C$500,"="&amp;BN$19)&gt;0,COUNTIFS(INDIRECT(ADDRESS(8,ROW()-7+86)&amp;":"&amp;ADDRESS(500,ROW()-7+86)),"&gt;="&amp;Main!$I$1,$C$8:$C$500,"="&amp;BN$19)/BN$20*100,"rem")</f>
        <v>rem</v>
      </c>
      <c r="BO14" s="28" t="str">
        <f ca="1">IF(COUNTIFS(INDIRECT(ADDRESS(8,ROW()-7+86)&amp;":"&amp;ADDRESS(500,ROW()-7+86)),"&gt;="&amp;Main!$I$1,$C$8:$C$500,"="&amp;BO$19)&gt;0,COUNTIFS(INDIRECT(ADDRESS(8,ROW()-7+86)&amp;":"&amp;ADDRESS(500,ROW()-7+86)),"&gt;="&amp;Main!$I$1,$C$8:$C$500,"="&amp;BO$19)/BO$20*100,"rem")</f>
        <v>rem</v>
      </c>
      <c r="BP14" s="28" t="str">
        <f ca="1">IF(COUNTIF(INDIRECT(ADDRESS(8,ROW()-7+86)&amp;":"&amp;ADDRESS(500,ROW()-7+86)),"&gt;="&amp;Main!$I$1)&gt;0,COUNTIF(INDIRECT(ADDRESS(8,ROW()-7+86)&amp;":"&amp;ADDRESS(500,ROW()-7+86)),"&gt;="&amp;Main!$I$1)/BP$20*100,"rem")</f>
        <v>rem</v>
      </c>
      <c r="BQ14">
        <f>VALUE(Main!$M$1)</f>
        <v>60</v>
      </c>
      <c r="BT14">
        <f t="shared" si="4"/>
        <v>2.9000000000000012</v>
      </c>
      <c r="BU14" t="e">
        <f t="shared" si="1"/>
        <v>#DIV/0!</v>
      </c>
      <c r="BV14" s="28" t="e">
        <f t="shared" si="5"/>
        <v>#DIV/0!</v>
      </c>
      <c r="BW14" t="e">
        <f t="shared" si="2"/>
        <v>#DIV/0!</v>
      </c>
      <c r="BX14" t="s">
        <v>250</v>
      </c>
      <c r="BY14" s="97">
        <f>COUNTIFS($G$8:$G$420,"="&amp;BX14,$C$8:$C$420,"&lt;&gt;PA",$C$8:$C$420,"&lt;&gt;R")</f>
        <v>0</v>
      </c>
      <c r="CC14" s="28"/>
      <c r="CD14" s="28"/>
      <c r="CE14" s="28"/>
      <c r="CF14" s="28"/>
      <c r="CG14" s="28"/>
      <c r="CH14" s="28"/>
      <c r="CI14" s="28"/>
      <c r="CJ14" s="28"/>
      <c r="CK14" s="28"/>
      <c r="CL14" s="28"/>
      <c r="CM14" s="28"/>
      <c r="CN14" s="28"/>
      <c r="CO14" s="28"/>
      <c r="CP14" s="28"/>
      <c r="CQ14" s="28"/>
      <c r="CR14" s="28"/>
      <c r="CS14" s="28"/>
      <c r="CV14">
        <v>12</v>
      </c>
      <c r="CW14" cm="1">
        <f t="array" aca="1" ref="CW14" ca="1">SUM(INDIRECT("CU8:CU"&amp;7+CV14)/CV14)</f>
        <v>0</v>
      </c>
    </row>
    <row r="15" spans="4:101" x14ac:dyDescent="0.3">
      <c r="BJ15" s="27" t="s">
        <v>234</v>
      </c>
      <c r="BK15" s="28" t="str">
        <f ca="1">IF(COUNTIFS(INDIRECT(ADDRESS(8,ROW()-7+86)&amp;":"&amp;ADDRESS(500,ROW()-7+86)),"&gt;="&amp;Main!$I$1,$C$8:$C$500,"="&amp;BK$19)&gt;0,COUNTIFS(INDIRECT(ADDRESS(8,ROW()-7+86)&amp;":"&amp;ADDRESS(500,ROW()-7+86)),"&gt;="&amp;Main!$I$1,$C$8:$C$500,"="&amp;BK$19)/BK$20*100,"rem")</f>
        <v>rem</v>
      </c>
      <c r="BL15" s="28" t="str">
        <f ca="1">IF(COUNTIFS(INDIRECT(ADDRESS(8,ROW()-7+86)&amp;":"&amp;ADDRESS(500,ROW()-7+86)),"&gt;="&amp;Main!$I$1,$C$8:$C$500,"="&amp;BL$19)&gt;0,COUNTIFS(INDIRECT(ADDRESS(8,ROW()-7+86)&amp;":"&amp;ADDRESS(500,ROW()-7+86)),"&gt;="&amp;Main!$I$1,$C$8:$C$500,"="&amp;BL$19)/BL$20*100,"rem")</f>
        <v>rem</v>
      </c>
      <c r="BM15" s="28" t="str">
        <f ca="1">IF(COUNTIFS(INDIRECT(ADDRESS(8,ROW()-7+86)&amp;":"&amp;ADDRESS(500,ROW()-7+86)),"&gt;="&amp;Main!$I$1,$C$8:$C$500,"="&amp;BM$19)&gt;0,COUNTIFS(INDIRECT(ADDRESS(8,ROW()-7+86)&amp;":"&amp;ADDRESS(500,ROW()-7+86)),"&gt;="&amp;Main!$I$1,$C$8:$C$500,"="&amp;BM$19)/BM$20*100,"rem")</f>
        <v>rem</v>
      </c>
      <c r="BN15" s="28" t="str">
        <f ca="1">IF(COUNTIFS(INDIRECT(ADDRESS(8,ROW()-7+86)&amp;":"&amp;ADDRESS(500,ROW()-7+86)),"&gt;="&amp;Main!$I$1,$C$8:$C$500,"="&amp;BN$19)&gt;0,COUNTIFS(INDIRECT(ADDRESS(8,ROW()-7+86)&amp;":"&amp;ADDRESS(500,ROW()-7+86)),"&gt;="&amp;Main!$I$1,$C$8:$C$500,"="&amp;BN$19)/BN$20*100,"rem")</f>
        <v>rem</v>
      </c>
      <c r="BO15" s="28" t="str">
        <f ca="1">IF(COUNTIFS(INDIRECT(ADDRESS(8,ROW()-7+86)&amp;":"&amp;ADDRESS(500,ROW()-7+86)),"&gt;="&amp;Main!$I$1,$C$8:$C$500,"="&amp;BO$19)&gt;0,COUNTIFS(INDIRECT(ADDRESS(8,ROW()-7+86)&amp;":"&amp;ADDRESS(500,ROW()-7+86)),"&gt;="&amp;Main!$I$1,$C$8:$C$500,"="&amp;BO$19)/BO$20*100,"rem")</f>
        <v>rem</v>
      </c>
      <c r="BP15" s="28" t="str">
        <f ca="1">IF(COUNTIF(INDIRECT(ADDRESS(8,ROW()-7+86)&amp;":"&amp;ADDRESS(500,ROW()-7+86)),"&gt;="&amp;Main!$I$1)&gt;0,COUNTIF(INDIRECT(ADDRESS(8,ROW()-7+86)&amp;":"&amp;ADDRESS(500,ROW()-7+86)),"&gt;="&amp;Main!$I$1)/BP$20*100,"rem")</f>
        <v>rem</v>
      </c>
      <c r="BQ15">
        <f>VALUE(Main!$M$1)</f>
        <v>60</v>
      </c>
      <c r="BT15">
        <f t="shared" si="4"/>
        <v>2.7900000000000014</v>
      </c>
      <c r="BU15" t="e">
        <f t="shared" si="1"/>
        <v>#DIV/0!</v>
      </c>
      <c r="BV15" s="28" t="e">
        <f t="shared" si="5"/>
        <v>#DIV/0!</v>
      </c>
      <c r="BW15" t="e">
        <f t="shared" si="2"/>
        <v>#DIV/0!</v>
      </c>
      <c r="BX15" t="s">
        <v>403</v>
      </c>
      <c r="BY15" s="97">
        <f>COUNTIF($G$8:$G$420,"="&amp;BX15)</f>
        <v>0</v>
      </c>
      <c r="CC15" s="28"/>
      <c r="CD15" s="28"/>
      <c r="CE15" s="28"/>
      <c r="CF15" s="28"/>
      <c r="CG15" s="28"/>
      <c r="CH15" s="28"/>
      <c r="CI15" s="28"/>
      <c r="CJ15" s="28"/>
      <c r="CK15" s="28"/>
      <c r="CL15" s="28"/>
      <c r="CM15" s="28"/>
      <c r="CN15" s="28"/>
      <c r="CO15" s="28"/>
      <c r="CP15" s="28"/>
      <c r="CQ15" s="28"/>
      <c r="CR15" s="28"/>
      <c r="CS15" s="28"/>
      <c r="CV15">
        <v>13</v>
      </c>
      <c r="CW15" cm="1">
        <f t="array" aca="1" ref="CW15" ca="1">SUM(INDIRECT("CU8:CU"&amp;7+CV15)/CV15)</f>
        <v>0</v>
      </c>
    </row>
    <row r="16" spans="4:101" x14ac:dyDescent="0.3">
      <c r="BJ16" t="s">
        <v>235</v>
      </c>
      <c r="BK16" s="28" t="str">
        <f ca="1">IF(COUNTIFS(INDIRECT(ADDRESS(8,ROW()-7+86)&amp;":"&amp;ADDRESS(500,ROW()-7+86)),"&gt;="&amp;Main!$I$1,$C$8:$C$500,"="&amp;BK$19)&gt;0,COUNTIFS(INDIRECT(ADDRESS(8,ROW()-7+86)&amp;":"&amp;ADDRESS(500,ROW()-7+86)),"&gt;="&amp;Main!$I$1,$C$8:$C$500,"="&amp;BK$19)/BK$20*100,"rem")</f>
        <v>rem</v>
      </c>
      <c r="BL16" s="28" t="str">
        <f ca="1">IF(COUNTIFS(INDIRECT(ADDRESS(8,ROW()-7+86)&amp;":"&amp;ADDRESS(500,ROW()-7+86)),"&gt;="&amp;Main!$I$1,$C$8:$C$500,"="&amp;BL$19)&gt;0,COUNTIFS(INDIRECT(ADDRESS(8,ROW()-7+86)&amp;":"&amp;ADDRESS(500,ROW()-7+86)),"&gt;="&amp;Main!$I$1,$C$8:$C$500,"="&amp;BL$19)/BL$20*100,"rem")</f>
        <v>rem</v>
      </c>
      <c r="BM16" s="28" t="str">
        <f ca="1">IF(COUNTIFS(INDIRECT(ADDRESS(8,ROW()-7+86)&amp;":"&amp;ADDRESS(500,ROW()-7+86)),"&gt;="&amp;Main!$I$1,$C$8:$C$500,"="&amp;BM$19)&gt;0,COUNTIFS(INDIRECT(ADDRESS(8,ROW()-7+86)&amp;":"&amp;ADDRESS(500,ROW()-7+86)),"&gt;="&amp;Main!$I$1,$C$8:$C$500,"="&amp;BM$19)/BM$20*100,"rem")</f>
        <v>rem</v>
      </c>
      <c r="BN16" s="28" t="str">
        <f ca="1">IF(COUNTIFS(INDIRECT(ADDRESS(8,ROW()-7+86)&amp;":"&amp;ADDRESS(500,ROW()-7+86)),"&gt;="&amp;Main!$I$1,$C$8:$C$500,"="&amp;BN$19)&gt;0,COUNTIFS(INDIRECT(ADDRESS(8,ROW()-7+86)&amp;":"&amp;ADDRESS(500,ROW()-7+86)),"&gt;="&amp;Main!$I$1,$C$8:$C$500,"="&amp;BN$19)/BN$20*100,"rem")</f>
        <v>rem</v>
      </c>
      <c r="BO16" s="28" t="str">
        <f ca="1">IF(COUNTIFS(INDIRECT(ADDRESS(8,ROW()-7+86)&amp;":"&amp;ADDRESS(500,ROW()-7+86)),"&gt;="&amp;Main!$I$1,$C$8:$C$500,"="&amp;BO$19)&gt;0,COUNTIFS(INDIRECT(ADDRESS(8,ROW()-7+86)&amp;":"&amp;ADDRESS(500,ROW()-7+86)),"&gt;="&amp;Main!$I$1,$C$8:$C$500,"="&amp;BO$19)/BO$20*100,"rem")</f>
        <v>rem</v>
      </c>
      <c r="BP16" s="28" t="str">
        <f ca="1">IF(COUNTIF(INDIRECT(ADDRESS(8,ROW()-7+86)&amp;":"&amp;ADDRESS(500,ROW()-7+86)),"&gt;="&amp;Main!$I$1)&gt;0,COUNTIF(INDIRECT(ADDRESS(8,ROW()-7+86)&amp;":"&amp;ADDRESS(500,ROW()-7+86)),"&gt;="&amp;Main!$I$1)/BP$20*100,"rem")</f>
        <v>rem</v>
      </c>
      <c r="BQ16">
        <f>VALUE(Main!$M$1)</f>
        <v>60</v>
      </c>
      <c r="BS16">
        <v>2.67</v>
      </c>
      <c r="BT16">
        <f t="shared" si="4"/>
        <v>2.6800000000000015</v>
      </c>
      <c r="BU16" t="e">
        <f t="shared" si="1"/>
        <v>#DIV/0!</v>
      </c>
      <c r="BV16" s="28" t="e">
        <f t="shared" si="5"/>
        <v>#DIV/0!</v>
      </c>
      <c r="BW16" t="e">
        <f t="shared" si="2"/>
        <v>#DIV/0!</v>
      </c>
      <c r="BX16" t="s">
        <v>404</v>
      </c>
      <c r="BY16" s="97">
        <f>COUNTIF($G$8:$G$420,"="&amp;BX16)</f>
        <v>0</v>
      </c>
      <c r="CC16" s="28"/>
      <c r="CD16" s="28"/>
      <c r="CE16" s="28"/>
      <c r="CF16" s="28"/>
      <c r="CG16" s="28"/>
      <c r="CH16" s="28"/>
      <c r="CI16" s="28"/>
      <c r="CJ16" s="28"/>
      <c r="CK16" s="28"/>
      <c r="CL16" s="28"/>
      <c r="CM16" s="28"/>
      <c r="CN16" s="28"/>
      <c r="CO16" s="28"/>
      <c r="CP16" s="28"/>
      <c r="CQ16" s="28"/>
      <c r="CR16" s="28"/>
      <c r="CS16" s="28"/>
      <c r="CV16">
        <v>14</v>
      </c>
      <c r="CW16" cm="1">
        <f t="array" aca="1" ref="CW16" ca="1">SUM(INDIRECT("CU8:CU"&amp;7+CV16)/CV16)</f>
        <v>0</v>
      </c>
    </row>
    <row r="17" spans="62:101" x14ac:dyDescent="0.3">
      <c r="BJ17" s="27" t="s">
        <v>236</v>
      </c>
      <c r="BK17" s="28" t="str">
        <f ca="1">IF(COUNTIFS(INDIRECT(ADDRESS(8,ROW()-7+86)&amp;":"&amp;ADDRESS(500,ROW()-7+86)),"&gt;="&amp;Main!$I$1,$C$8:$C$500,"="&amp;BK$19)&gt;0,COUNTIFS(INDIRECT(ADDRESS(8,ROW()-7+86)&amp;":"&amp;ADDRESS(500,ROW()-7+86)),"&gt;="&amp;Main!$I$1,$C$8:$C$500,"="&amp;BK$19)/BK$20*100,"rem")</f>
        <v>rem</v>
      </c>
      <c r="BL17" s="28" t="str">
        <f ca="1">IF(COUNTIFS(INDIRECT(ADDRESS(8,ROW()-7+86)&amp;":"&amp;ADDRESS(500,ROW()-7+86)),"&gt;="&amp;Main!$I$1,$C$8:$C$500,"="&amp;BL$19)&gt;0,COUNTIFS(INDIRECT(ADDRESS(8,ROW()-7+86)&amp;":"&amp;ADDRESS(500,ROW()-7+86)),"&gt;="&amp;Main!$I$1,$C$8:$C$500,"="&amp;BL$19)/BL$20*100,"rem")</f>
        <v>rem</v>
      </c>
      <c r="BM17" s="28" t="str">
        <f ca="1">IF(COUNTIFS(INDIRECT(ADDRESS(8,ROW()-7+86)&amp;":"&amp;ADDRESS(500,ROW()-7+86)),"&gt;="&amp;Main!$I$1,$C$8:$C$500,"="&amp;BM$19)&gt;0,COUNTIFS(INDIRECT(ADDRESS(8,ROW()-7+86)&amp;":"&amp;ADDRESS(500,ROW()-7+86)),"&gt;="&amp;Main!$I$1,$C$8:$C$500,"="&amp;BM$19)/BM$20*100,"rem")</f>
        <v>rem</v>
      </c>
      <c r="BN17" s="28" t="str">
        <f ca="1">IF(COUNTIFS(INDIRECT(ADDRESS(8,ROW()-7+86)&amp;":"&amp;ADDRESS(500,ROW()-7+86)),"&gt;="&amp;Main!$I$1,$C$8:$C$500,"="&amp;BN$19)&gt;0,COUNTIFS(INDIRECT(ADDRESS(8,ROW()-7+86)&amp;":"&amp;ADDRESS(500,ROW()-7+86)),"&gt;="&amp;Main!$I$1,$C$8:$C$500,"="&amp;BN$19)/BN$20*100,"rem")</f>
        <v>rem</v>
      </c>
      <c r="BO17" s="28" t="str">
        <f ca="1">IF(COUNTIFS(INDIRECT(ADDRESS(8,ROW()-7+86)&amp;":"&amp;ADDRESS(500,ROW()-7+86)),"&gt;="&amp;Main!$I$1,$C$8:$C$500,"="&amp;BO$19)&gt;0,COUNTIFS(INDIRECT(ADDRESS(8,ROW()-7+86)&amp;":"&amp;ADDRESS(500,ROW()-7+86)),"&gt;="&amp;Main!$I$1,$C$8:$C$500,"="&amp;BO$19)/BO$20*100,"rem")</f>
        <v>rem</v>
      </c>
      <c r="BP17" s="28" t="str">
        <f ca="1">IF(COUNTIF(INDIRECT(ADDRESS(8,ROW()-7+86)&amp;":"&amp;ADDRESS(500,ROW()-7+86)),"&gt;="&amp;Main!$I$1)&gt;0,COUNTIF(INDIRECT(ADDRESS(8,ROW()-7+86)&amp;":"&amp;ADDRESS(500,ROW()-7+86)),"&gt;="&amp;Main!$I$1)/BP$20*100,"rem")</f>
        <v>rem</v>
      </c>
      <c r="BQ17">
        <f>VALUE(Main!$M$1)</f>
        <v>60</v>
      </c>
      <c r="BT17">
        <f t="shared" si="4"/>
        <v>2.5700000000000016</v>
      </c>
      <c r="BU17" t="e">
        <f t="shared" si="1"/>
        <v>#DIV/0!</v>
      </c>
      <c r="BV17" s="28" t="e">
        <f t="shared" si="5"/>
        <v>#DIV/0!</v>
      </c>
      <c r="BW17" t="e">
        <f t="shared" si="2"/>
        <v>#DIV/0!</v>
      </c>
      <c r="BX17" t="s">
        <v>590</v>
      </c>
      <c r="BY17" s="97">
        <f>COUNTIF($C$8:$C$420,"=PA")</f>
        <v>0</v>
      </c>
      <c r="CC17" s="28"/>
      <c r="CD17" s="28"/>
      <c r="CE17" s="28"/>
      <c r="CF17" s="28"/>
      <c r="CG17" s="28"/>
      <c r="CH17" s="28"/>
      <c r="CI17" s="28"/>
      <c r="CJ17" s="28"/>
      <c r="CK17" s="28"/>
      <c r="CL17" s="28"/>
      <c r="CM17" s="28"/>
      <c r="CN17" s="28"/>
      <c r="CO17" s="28"/>
      <c r="CP17" s="28"/>
      <c r="CQ17" s="28"/>
      <c r="CR17" s="28"/>
      <c r="CS17" s="28"/>
      <c r="CV17">
        <v>15</v>
      </c>
      <c r="CW17" cm="1">
        <f t="array" aca="1" ref="CW17" ca="1">SUM(INDIRECT("CU8:CU"&amp;7+CV17)/CV17)</f>
        <v>0</v>
      </c>
    </row>
    <row r="18" spans="62:101" x14ac:dyDescent="0.3">
      <c r="BJ18" t="s">
        <v>237</v>
      </c>
      <c r="BK18" s="28" t="str">
        <f ca="1">IF(COUNTIFS(INDIRECT(ADDRESS(8,ROW()-7+86)&amp;":"&amp;ADDRESS(500,ROW()-7+86)),"&gt;="&amp;Main!$I$1,$C$8:$C$500,"="&amp;BK$19)&gt;0,COUNTIFS(INDIRECT(ADDRESS(8,ROW()-7+86)&amp;":"&amp;ADDRESS(500,ROW()-7+86)),"&gt;="&amp;Main!$I$1,$C$8:$C$500,"="&amp;BK$19)/BK$20*100,"rem")</f>
        <v>rem</v>
      </c>
      <c r="BL18" s="28" t="str">
        <f ca="1">IF(COUNTIFS(INDIRECT(ADDRESS(8,ROW()-7+86)&amp;":"&amp;ADDRESS(500,ROW()-7+86)),"&gt;="&amp;Main!$I$1,$C$8:$C$500,"="&amp;BL$19)&gt;0,COUNTIFS(INDIRECT(ADDRESS(8,ROW()-7+86)&amp;":"&amp;ADDRESS(500,ROW()-7+86)),"&gt;="&amp;Main!$I$1,$C$8:$C$500,"="&amp;BL$19)/BL$20*100,"rem")</f>
        <v>rem</v>
      </c>
      <c r="BM18" s="28" t="str">
        <f ca="1">IF(COUNTIFS(INDIRECT(ADDRESS(8,ROW()-7+86)&amp;":"&amp;ADDRESS(500,ROW()-7+86)),"&gt;="&amp;Main!$I$1,$C$8:$C$500,"="&amp;BM$19)&gt;0,COUNTIFS(INDIRECT(ADDRESS(8,ROW()-7+86)&amp;":"&amp;ADDRESS(500,ROW()-7+86)),"&gt;="&amp;Main!$I$1,$C$8:$C$500,"="&amp;BM$19)/BM$20*100,"rem")</f>
        <v>rem</v>
      </c>
      <c r="BN18" s="28" t="str">
        <f ca="1">IF(COUNTIFS(INDIRECT(ADDRESS(8,ROW()-7+86)&amp;":"&amp;ADDRESS(500,ROW()-7+86)),"&gt;="&amp;Main!$I$1,$C$8:$C$500,"="&amp;BN$19)&gt;0,COUNTIFS(INDIRECT(ADDRESS(8,ROW()-7+86)&amp;":"&amp;ADDRESS(500,ROW()-7+86)),"&gt;="&amp;Main!$I$1,$C$8:$C$500,"="&amp;BN$19)/BN$20*100,"rem")</f>
        <v>rem</v>
      </c>
      <c r="BO18" s="28" t="str">
        <f ca="1">IF(COUNTIFS(INDIRECT(ADDRESS(8,ROW()-7+86)&amp;":"&amp;ADDRESS(500,ROW()-7+86)),"&gt;="&amp;Main!$I$1,$C$8:$C$500,"="&amp;BO$19)&gt;0,COUNTIFS(INDIRECT(ADDRESS(8,ROW()-7+86)&amp;":"&amp;ADDRESS(500,ROW()-7+86)),"&gt;="&amp;Main!$I$1,$C$8:$C$500,"="&amp;BO$19)/BO$20*100,"rem")</f>
        <v>rem</v>
      </c>
      <c r="BP18" s="28" t="str">
        <f ca="1">IF(COUNTIF(INDIRECT(ADDRESS(8,ROW()-7+86)&amp;":"&amp;ADDRESS(500,ROW()-7+86)),"&gt;="&amp;Main!$I$1)&gt;0,COUNTIF(INDIRECT(ADDRESS(8,ROW()-7+86)&amp;":"&amp;ADDRESS(500,ROW()-7+86)),"&gt;="&amp;Main!$I$1)/BP$20*100,"rem")</f>
        <v>rem</v>
      </c>
      <c r="BQ18">
        <f>VALUE(Main!$M$1)</f>
        <v>60</v>
      </c>
      <c r="BT18">
        <f t="shared" si="4"/>
        <v>2.4600000000000017</v>
      </c>
      <c r="BU18" t="e">
        <f t="shared" si="1"/>
        <v>#DIV/0!</v>
      </c>
      <c r="BV18" s="28" t="e">
        <f t="shared" si="5"/>
        <v>#DIV/0!</v>
      </c>
      <c r="BW18" t="e">
        <f t="shared" si="2"/>
        <v>#DIV/0!</v>
      </c>
      <c r="CC18" s="28"/>
      <c r="CD18" s="28"/>
      <c r="CE18" s="28"/>
      <c r="CF18" s="28"/>
      <c r="CG18" s="28"/>
      <c r="CH18" s="28"/>
      <c r="CI18" s="28"/>
      <c r="CJ18" s="28"/>
      <c r="CK18" s="28"/>
      <c r="CL18" s="28"/>
      <c r="CM18" s="28"/>
      <c r="CN18" s="28"/>
      <c r="CO18" s="28"/>
      <c r="CP18" s="28"/>
      <c r="CQ18" s="28"/>
      <c r="CR18" s="28"/>
      <c r="CS18" s="28"/>
      <c r="CV18">
        <v>16</v>
      </c>
      <c r="CW18" cm="1">
        <f t="array" aca="1" ref="CW18" ca="1">SUM(INDIRECT("CU8:CU"&amp;7+CV18)/CV18)</f>
        <v>0</v>
      </c>
    </row>
    <row r="19" spans="62:101" x14ac:dyDescent="0.3">
      <c r="BJ19" s="99" t="s">
        <v>738</v>
      </c>
      <c r="BK19" t="str">
        <f>IF(ISNUMBER(FIND("U",Main!E9)),"U","A")</f>
        <v>U</v>
      </c>
      <c r="BL19" s="97" t="str">
        <f>IF(ISNUMBER(FIND("T",Main!E9)),"T","B")</f>
        <v>T</v>
      </c>
      <c r="BM19" s="97" t="str">
        <f>IF(ISNUMBER(FIND("P",Main!E9)),"P","C")</f>
        <v>C</v>
      </c>
      <c r="BN19" s="97" t="str">
        <f>IF(ISNUMBER(FIND("M",Main!E9)),"M","D")</f>
        <v>M</v>
      </c>
      <c r="BO19" t="s">
        <v>369</v>
      </c>
      <c r="BP19" t="str">
        <f>"Comb-"&amp;Main!E9</f>
        <v>Comb-U,T,M</v>
      </c>
      <c r="BQ19" t="s">
        <v>372</v>
      </c>
      <c r="BS19">
        <v>2.33</v>
      </c>
      <c r="BT19">
        <f t="shared" si="4"/>
        <v>2.3500000000000019</v>
      </c>
      <c r="BU19" t="e">
        <f t="shared" si="1"/>
        <v>#DIV/0!</v>
      </c>
      <c r="BV19" s="28" t="e">
        <f t="shared" si="5"/>
        <v>#DIV/0!</v>
      </c>
      <c r="BW19" t="e">
        <f t="shared" si="2"/>
        <v>#DIV/0!</v>
      </c>
      <c r="CC19" s="28"/>
      <c r="CD19" s="28"/>
      <c r="CE19" s="28"/>
      <c r="CF19" s="28"/>
      <c r="CG19" s="28"/>
      <c r="CH19" s="28"/>
      <c r="CI19" s="28"/>
      <c r="CJ19" s="28"/>
      <c r="CK19" s="28"/>
      <c r="CL19" s="28"/>
      <c r="CM19" s="28"/>
      <c r="CN19" s="28"/>
      <c r="CO19" s="28"/>
      <c r="CP19" s="28"/>
      <c r="CQ19" s="28"/>
      <c r="CR19" s="28"/>
      <c r="CS19" s="28"/>
      <c r="CV19">
        <v>17</v>
      </c>
      <c r="CW19" cm="1">
        <f t="array" aca="1" ref="CW19" ca="1">SUM(INDIRECT("CU8:CU"&amp;7+CV19)/CV19)</f>
        <v>0</v>
      </c>
    </row>
    <row r="20" spans="62:101" x14ac:dyDescent="0.3">
      <c r="BK20">
        <f>COUNTIF($C:$C,"="&amp;BK19)</f>
        <v>0</v>
      </c>
      <c r="BL20">
        <f>COUNTIF($C:$C,"="&amp;BL19)</f>
        <v>0</v>
      </c>
      <c r="BM20">
        <f>COUNTIF($C:$C,"="&amp;BM19)</f>
        <v>0</v>
      </c>
      <c r="BN20">
        <f>COUNTIF($C:$C,"="&amp;BN19)</f>
        <v>0</v>
      </c>
      <c r="BO20">
        <f>COUNTIF($C:$C,"="&amp;BO19)</f>
        <v>0</v>
      </c>
      <c r="BP20">
        <f>COUNTA($C:$C)-1</f>
        <v>-1</v>
      </c>
      <c r="BT20">
        <f t="shared" si="4"/>
        <v>2.240000000000002</v>
      </c>
      <c r="BU20" t="e">
        <f t="shared" si="1"/>
        <v>#DIV/0!</v>
      </c>
      <c r="BV20" s="28" t="e">
        <f t="shared" si="5"/>
        <v>#DIV/0!</v>
      </c>
      <c r="BW20" t="e">
        <f t="shared" si="2"/>
        <v>#DIV/0!</v>
      </c>
      <c r="CC20" s="28"/>
      <c r="CD20" s="28"/>
      <c r="CE20" s="28"/>
      <c r="CF20" s="28"/>
      <c r="CG20" s="28"/>
      <c r="CH20" s="28"/>
      <c r="CI20" s="28"/>
      <c r="CJ20" s="28"/>
      <c r="CK20" s="28"/>
      <c r="CL20" s="28"/>
      <c r="CM20" s="28"/>
      <c r="CN20" s="28"/>
      <c r="CO20" s="28"/>
      <c r="CP20" s="28"/>
      <c r="CQ20" s="28"/>
      <c r="CR20" s="28"/>
      <c r="CS20" s="28"/>
      <c r="CV20">
        <v>18</v>
      </c>
      <c r="CW20" cm="1">
        <f t="array" aca="1" ref="CW20" ca="1">SUM(INDIRECT("CU8:CU"&amp;7+CV20)/CV20)</f>
        <v>0</v>
      </c>
    </row>
    <row r="21" spans="62:101" x14ac:dyDescent="0.3">
      <c r="BK21" s="97"/>
      <c r="BO21" s="38" t="s">
        <v>689</v>
      </c>
      <c r="BP21">
        <f ca="1">COUNTIF(BP7:BP18,"&lt;"&amp;BQ18)</f>
        <v>0</v>
      </c>
      <c r="BT21">
        <f t="shared" si="4"/>
        <v>2.1300000000000021</v>
      </c>
      <c r="BU21" t="e">
        <f t="shared" si="1"/>
        <v>#DIV/0!</v>
      </c>
      <c r="BV21" s="28" t="e">
        <f t="shared" si="5"/>
        <v>#DIV/0!</v>
      </c>
      <c r="BW21" t="e">
        <f t="shared" si="2"/>
        <v>#DIV/0!</v>
      </c>
      <c r="CC21" s="28"/>
      <c r="CD21" s="28"/>
      <c r="CE21" s="28"/>
      <c r="CF21" s="28"/>
      <c r="CG21" s="28"/>
      <c r="CH21" s="28"/>
      <c r="CI21" s="28"/>
      <c r="CJ21" s="28"/>
      <c r="CK21" s="28"/>
      <c r="CL21" s="28"/>
      <c r="CM21" s="28"/>
      <c r="CN21" s="28"/>
      <c r="CO21" s="28"/>
      <c r="CP21" s="28"/>
      <c r="CQ21" s="28"/>
      <c r="CR21" s="28"/>
      <c r="CS21" s="28"/>
      <c r="CV21">
        <v>19</v>
      </c>
      <c r="CW21" cm="1">
        <f t="array" aca="1" ref="CW21" ca="1">SUM(INDIRECT("CU8:CU"&amp;7+CV21)/CV21)</f>
        <v>0</v>
      </c>
    </row>
    <row r="22" spans="62:101" x14ac:dyDescent="0.3">
      <c r="BO22" s="38" t="s">
        <v>688</v>
      </c>
      <c r="BP22">
        <f ca="1">COUNTIF(BP2:BP6,"&lt;"&amp;BQ6)</f>
        <v>0</v>
      </c>
      <c r="BS22">
        <v>2</v>
      </c>
      <c r="BT22">
        <f t="shared" si="4"/>
        <v>2.0200000000000022</v>
      </c>
      <c r="BU22" t="e">
        <f t="shared" si="1"/>
        <v>#DIV/0!</v>
      </c>
      <c r="BV22" s="28" t="e">
        <f t="shared" si="5"/>
        <v>#DIV/0!</v>
      </c>
      <c r="BW22" t="e">
        <f t="shared" si="2"/>
        <v>#DIV/0!</v>
      </c>
      <c r="CC22" s="28"/>
      <c r="CD22" s="28"/>
      <c r="CE22" s="28"/>
      <c r="CF22" s="28"/>
      <c r="CG22" s="28"/>
      <c r="CH22" s="28"/>
      <c r="CI22" s="28"/>
      <c r="CJ22" s="28"/>
      <c r="CK22" s="28"/>
      <c r="CL22" s="28"/>
      <c r="CM22" s="28"/>
      <c r="CN22" s="28"/>
      <c r="CO22" s="28"/>
      <c r="CP22" s="28"/>
      <c r="CQ22" s="28"/>
      <c r="CR22" s="28"/>
      <c r="CS22" s="28"/>
      <c r="CV22">
        <v>20</v>
      </c>
      <c r="CW22" cm="1">
        <f t="array" aca="1" ref="CW22" ca="1">SUM(INDIRECT("CU8:CU"&amp;7+CV22)/CV22)</f>
        <v>0</v>
      </c>
    </row>
    <row r="23" spans="62:101" x14ac:dyDescent="0.3">
      <c r="BT23">
        <f t="shared" si="4"/>
        <v>1.9100000000000021</v>
      </c>
      <c r="BU23" t="e">
        <f t="shared" si="1"/>
        <v>#DIV/0!</v>
      </c>
      <c r="BV23" s="28" t="e">
        <f t="shared" si="5"/>
        <v>#DIV/0!</v>
      </c>
      <c r="BW23" t="e">
        <f t="shared" si="2"/>
        <v>#DIV/0!</v>
      </c>
      <c r="CC23" s="28"/>
      <c r="CD23" s="28"/>
      <c r="CE23" s="28"/>
      <c r="CF23" s="28"/>
      <c r="CG23" s="28"/>
      <c r="CH23" s="28"/>
      <c r="CI23" s="28"/>
      <c r="CJ23" s="28"/>
      <c r="CK23" s="28"/>
      <c r="CL23" s="28"/>
      <c r="CM23" s="28"/>
      <c r="CN23" s="28"/>
      <c r="CO23" s="28"/>
      <c r="CP23" s="28"/>
      <c r="CQ23" s="28"/>
      <c r="CR23" s="28"/>
      <c r="CS23" s="28"/>
      <c r="CV23">
        <v>21</v>
      </c>
      <c r="CW23" cm="1">
        <f t="array" aca="1" ref="CW23" ca="1">SUM(INDIRECT("CU8:CU"&amp;7+CV23)/CV23)</f>
        <v>0</v>
      </c>
    </row>
    <row r="24" spans="62:101" x14ac:dyDescent="0.3">
      <c r="BT24">
        <f>BT23-0.11</f>
        <v>1.800000000000002</v>
      </c>
      <c r="BU24" t="e">
        <f t="shared" si="1"/>
        <v>#DIV/0!</v>
      </c>
      <c r="BV24" s="28" t="e">
        <f t="shared" si="5"/>
        <v>#DIV/0!</v>
      </c>
      <c r="BW24" t="e">
        <f t="shared" si="2"/>
        <v>#DIV/0!</v>
      </c>
      <c r="CC24" s="28"/>
      <c r="CD24" s="28"/>
      <c r="CE24" s="28"/>
      <c r="CF24" s="28"/>
      <c r="CG24" s="28"/>
      <c r="CH24" s="28"/>
      <c r="CI24" s="28"/>
      <c r="CJ24" s="28"/>
      <c r="CK24" s="28"/>
      <c r="CL24" s="28"/>
      <c r="CM24" s="28"/>
      <c r="CN24" s="28"/>
      <c r="CO24" s="28"/>
      <c r="CP24" s="28"/>
      <c r="CQ24" s="28"/>
      <c r="CR24" s="28"/>
      <c r="CS24" s="28"/>
    </row>
    <row r="25" spans="62:101" x14ac:dyDescent="0.3">
      <c r="BS25">
        <v>1.67</v>
      </c>
      <c r="BT25">
        <f t="shared" si="4"/>
        <v>1.6900000000000019</v>
      </c>
      <c r="BU25" t="e">
        <f t="shared" si="1"/>
        <v>#DIV/0!</v>
      </c>
      <c r="BV25" s="28" t="e">
        <f t="shared" si="5"/>
        <v>#DIV/0!</v>
      </c>
      <c r="BW25" t="e">
        <f t="shared" si="2"/>
        <v>#DIV/0!</v>
      </c>
      <c r="CC25" s="28"/>
      <c r="CD25" s="28"/>
      <c r="CE25" s="28"/>
      <c r="CF25" s="28"/>
      <c r="CG25" s="28"/>
      <c r="CH25" s="28"/>
      <c r="CI25" s="28"/>
      <c r="CJ25" s="28"/>
      <c r="CK25" s="28"/>
      <c r="CL25" s="28"/>
      <c r="CM25" s="28"/>
      <c r="CN25" s="28"/>
      <c r="CO25" s="28"/>
      <c r="CP25" s="28"/>
      <c r="CQ25" s="28"/>
      <c r="CR25" s="28"/>
      <c r="CS25" s="28"/>
    </row>
    <row r="26" spans="62:101" x14ac:dyDescent="0.3">
      <c r="BT26">
        <f t="shared" si="4"/>
        <v>1.5800000000000018</v>
      </c>
      <c r="BU26" t="e">
        <f t="shared" si="1"/>
        <v>#DIV/0!</v>
      </c>
      <c r="BV26" s="28" t="e">
        <f t="shared" si="5"/>
        <v>#DIV/0!</v>
      </c>
      <c r="BW26" t="e">
        <f t="shared" si="2"/>
        <v>#DIV/0!</v>
      </c>
      <c r="CC26" s="28"/>
      <c r="CD26" s="28"/>
      <c r="CE26" s="28"/>
      <c r="CF26" s="28"/>
      <c r="CG26" s="28"/>
      <c r="CH26" s="28"/>
      <c r="CI26" s="28"/>
      <c r="CJ26" s="28"/>
      <c r="CK26" s="28"/>
      <c r="CL26" s="28"/>
      <c r="CM26" s="28"/>
      <c r="CN26" s="28"/>
      <c r="CO26" s="28"/>
      <c r="CP26" s="28"/>
      <c r="CQ26" s="28"/>
      <c r="CR26" s="28"/>
      <c r="CS26" s="28"/>
    </row>
    <row r="27" spans="62:101" x14ac:dyDescent="0.3">
      <c r="BT27">
        <f t="shared" si="4"/>
        <v>1.4700000000000017</v>
      </c>
      <c r="BU27" t="e">
        <f t="shared" si="1"/>
        <v>#DIV/0!</v>
      </c>
      <c r="BV27" s="28" t="e">
        <f t="shared" si="5"/>
        <v>#DIV/0!</v>
      </c>
      <c r="BW27" t="e">
        <f t="shared" si="2"/>
        <v>#DIV/0!</v>
      </c>
      <c r="CC27" s="28"/>
      <c r="CD27" s="28"/>
      <c r="CE27" s="28"/>
      <c r="CF27" s="28"/>
      <c r="CG27" s="28"/>
      <c r="CH27" s="28"/>
      <c r="CI27" s="28"/>
      <c r="CJ27" s="28"/>
      <c r="CK27" s="28"/>
      <c r="CL27" s="28"/>
      <c r="CM27" s="28"/>
      <c r="CN27" s="28"/>
      <c r="CO27" s="28"/>
      <c r="CP27" s="28"/>
      <c r="CQ27" s="28"/>
      <c r="CR27" s="28"/>
      <c r="CS27" s="28"/>
    </row>
    <row r="28" spans="62:101" x14ac:dyDescent="0.3">
      <c r="BS28">
        <v>1.33</v>
      </c>
      <c r="BT28">
        <f>BT27-0.11</f>
        <v>1.3600000000000017</v>
      </c>
      <c r="BU28" t="e">
        <f t="shared" si="1"/>
        <v>#DIV/0!</v>
      </c>
      <c r="BV28" s="28" t="e">
        <f t="shared" si="5"/>
        <v>#DIV/0!</v>
      </c>
      <c r="BW28" t="e">
        <f t="shared" si="2"/>
        <v>#DIV/0!</v>
      </c>
      <c r="CC28" s="28"/>
      <c r="CD28" s="28"/>
      <c r="CE28" s="28"/>
      <c r="CF28" s="28"/>
      <c r="CG28" s="28"/>
      <c r="CH28" s="28"/>
      <c r="CI28" s="28"/>
      <c r="CJ28" s="28"/>
      <c r="CK28" s="28"/>
      <c r="CL28" s="28"/>
      <c r="CM28" s="28"/>
      <c r="CN28" s="28"/>
      <c r="CO28" s="28"/>
      <c r="CP28" s="28"/>
      <c r="CQ28" s="28"/>
      <c r="CR28" s="28"/>
      <c r="CS28" s="28"/>
    </row>
    <row r="29" spans="62:101" x14ac:dyDescent="0.3">
      <c r="BT29">
        <f t="shared" si="4"/>
        <v>1.2500000000000016</v>
      </c>
      <c r="BU29" t="e">
        <f t="shared" si="1"/>
        <v>#DIV/0!</v>
      </c>
      <c r="BV29" s="28" t="e">
        <f t="shared" si="5"/>
        <v>#DIV/0!</v>
      </c>
      <c r="BW29" t="e">
        <f t="shared" si="2"/>
        <v>#DIV/0!</v>
      </c>
      <c r="CC29" s="28"/>
      <c r="CD29" s="28"/>
      <c r="CE29" s="28"/>
      <c r="CF29" s="28"/>
      <c r="CG29" s="28"/>
      <c r="CH29" s="28"/>
      <c r="CI29" s="28"/>
      <c r="CJ29" s="28"/>
      <c r="CK29" s="28"/>
      <c r="CL29" s="28"/>
      <c r="CM29" s="28"/>
      <c r="CN29" s="28"/>
      <c r="CO29" s="28"/>
      <c r="CP29" s="28"/>
      <c r="CQ29" s="28"/>
      <c r="CR29" s="28"/>
      <c r="CS29" s="28"/>
    </row>
    <row r="30" spans="62:101" x14ac:dyDescent="0.3">
      <c r="BT30">
        <f>BT29-0.11</f>
        <v>1.1400000000000015</v>
      </c>
      <c r="BU30" t="e">
        <f t="shared" si="1"/>
        <v>#DIV/0!</v>
      </c>
      <c r="BV30" s="28" t="e">
        <f t="shared" si="5"/>
        <v>#DIV/0!</v>
      </c>
      <c r="BW30" t="e">
        <f t="shared" si="2"/>
        <v>#DIV/0!</v>
      </c>
      <c r="CC30" s="28"/>
      <c r="CD30" s="28"/>
      <c r="CE30" s="28"/>
      <c r="CF30" s="28"/>
      <c r="CG30" s="28"/>
      <c r="CH30" s="28"/>
      <c r="CI30" s="28"/>
      <c r="CJ30" s="28"/>
      <c r="CK30" s="28"/>
      <c r="CL30" s="28"/>
      <c r="CM30" s="28"/>
      <c r="CN30" s="28"/>
      <c r="CO30" s="28"/>
      <c r="CP30" s="28"/>
      <c r="CQ30" s="28"/>
      <c r="CR30" s="28"/>
      <c r="CS30" s="28"/>
    </row>
    <row r="31" spans="62:101" x14ac:dyDescent="0.3">
      <c r="BS31">
        <v>1</v>
      </c>
      <c r="BT31">
        <f t="shared" si="4"/>
        <v>1.0300000000000014</v>
      </c>
      <c r="BU31" t="e">
        <f t="shared" si="1"/>
        <v>#DIV/0!</v>
      </c>
      <c r="BV31" s="28" t="e">
        <f t="shared" si="5"/>
        <v>#DIV/0!</v>
      </c>
      <c r="BW31" t="e">
        <f t="shared" si="2"/>
        <v>#DIV/0!</v>
      </c>
      <c r="CC31" s="28"/>
      <c r="CD31" s="28"/>
      <c r="CE31" s="28"/>
      <c r="CF31" s="28"/>
      <c r="CG31" s="28"/>
      <c r="CH31" s="28"/>
      <c r="CI31" s="28"/>
      <c r="CJ31" s="28"/>
      <c r="CK31" s="28"/>
      <c r="CL31" s="28"/>
      <c r="CM31" s="28"/>
      <c r="CN31" s="28"/>
      <c r="CO31" s="28"/>
      <c r="CP31" s="28"/>
      <c r="CQ31" s="28"/>
      <c r="CR31" s="28"/>
      <c r="CS31" s="28"/>
    </row>
    <row r="32" spans="62:101" x14ac:dyDescent="0.3">
      <c r="BT32">
        <f t="shared" si="4"/>
        <v>0.92000000000000137</v>
      </c>
      <c r="BU32" t="e">
        <f t="shared" si="1"/>
        <v>#DIV/0!</v>
      </c>
      <c r="BV32" s="28" t="e">
        <f t="shared" si="5"/>
        <v>#DIV/0!</v>
      </c>
      <c r="BW32" t="e">
        <f t="shared" si="2"/>
        <v>#DIV/0!</v>
      </c>
      <c r="CC32" s="28"/>
      <c r="CD32" s="28"/>
      <c r="CE32" s="28"/>
      <c r="CF32" s="28"/>
      <c r="CG32" s="28"/>
      <c r="CH32" s="28"/>
      <c r="CI32" s="28"/>
      <c r="CJ32" s="28"/>
      <c r="CK32" s="28"/>
      <c r="CL32" s="28"/>
      <c r="CM32" s="28"/>
      <c r="CN32" s="28"/>
      <c r="CO32" s="28"/>
      <c r="CP32" s="28"/>
      <c r="CQ32" s="28"/>
      <c r="CR32" s="28"/>
      <c r="CS32" s="28"/>
    </row>
    <row r="33" spans="71:97" x14ac:dyDescent="0.3">
      <c r="BT33">
        <f t="shared" si="4"/>
        <v>0.81000000000000139</v>
      </c>
      <c r="BU33" t="e">
        <f t="shared" si="1"/>
        <v>#DIV/0!</v>
      </c>
      <c r="BV33" s="28" t="e">
        <f t="shared" si="5"/>
        <v>#DIV/0!</v>
      </c>
      <c r="BW33" t="e">
        <f t="shared" si="2"/>
        <v>#DIV/0!</v>
      </c>
      <c r="CC33" s="28"/>
      <c r="CD33" s="28"/>
      <c r="CE33" s="28"/>
      <c r="CF33" s="28"/>
      <c r="CG33" s="28"/>
      <c r="CH33" s="28"/>
      <c r="CI33" s="28"/>
      <c r="CJ33" s="28"/>
      <c r="CK33" s="28"/>
      <c r="CL33" s="28"/>
      <c r="CM33" s="28"/>
      <c r="CN33" s="28"/>
      <c r="CO33" s="28"/>
      <c r="CP33" s="28"/>
      <c r="CQ33" s="28"/>
      <c r="CR33" s="28"/>
      <c r="CS33" s="28"/>
    </row>
    <row r="34" spans="71:97" x14ac:dyDescent="0.3">
      <c r="BT34">
        <f>BT33-0.11</f>
        <v>0.7000000000000014</v>
      </c>
      <c r="BU34" t="e">
        <f t="shared" si="1"/>
        <v>#DIV/0!</v>
      </c>
      <c r="BV34" s="28" t="e">
        <f t="shared" si="5"/>
        <v>#DIV/0!</v>
      </c>
      <c r="BW34" t="e">
        <f t="shared" si="2"/>
        <v>#DIV/0!</v>
      </c>
      <c r="CC34" s="28"/>
      <c r="CD34" s="28"/>
      <c r="CE34" s="28"/>
      <c r="CF34" s="28"/>
      <c r="CG34" s="28"/>
      <c r="CH34" s="28"/>
      <c r="CI34" s="28"/>
      <c r="CJ34" s="28"/>
      <c r="CK34" s="28"/>
      <c r="CL34" s="28"/>
      <c r="CM34" s="28"/>
      <c r="CN34" s="28"/>
      <c r="CO34" s="28"/>
      <c r="CP34" s="28"/>
      <c r="CQ34" s="28"/>
      <c r="CR34" s="28"/>
      <c r="CS34" s="28"/>
    </row>
    <row r="35" spans="71:97" x14ac:dyDescent="0.3">
      <c r="BT35">
        <f t="shared" si="4"/>
        <v>0.59000000000000141</v>
      </c>
      <c r="BU35" t="e">
        <f t="shared" si="1"/>
        <v>#DIV/0!</v>
      </c>
      <c r="BV35" s="28" t="e">
        <f t="shared" si="5"/>
        <v>#DIV/0!</v>
      </c>
      <c r="BW35" t="e">
        <f t="shared" si="2"/>
        <v>#DIV/0!</v>
      </c>
      <c r="CC35" s="28"/>
      <c r="CD35" s="28"/>
      <c r="CE35" s="28"/>
      <c r="CF35" s="28"/>
      <c r="CG35" s="28"/>
      <c r="CH35" s="28"/>
      <c r="CI35" s="28"/>
      <c r="CJ35" s="28"/>
      <c r="CK35" s="28"/>
      <c r="CL35" s="28"/>
      <c r="CM35" s="28"/>
      <c r="CN35" s="28"/>
      <c r="CO35" s="28"/>
      <c r="CP35" s="28"/>
      <c r="CQ35" s="28"/>
      <c r="CR35" s="28"/>
      <c r="CS35" s="28"/>
    </row>
    <row r="36" spans="71:97" x14ac:dyDescent="0.3">
      <c r="BT36">
        <f t="shared" si="4"/>
        <v>0.48000000000000143</v>
      </c>
      <c r="BU36" t="e">
        <f t="shared" si="1"/>
        <v>#DIV/0!</v>
      </c>
      <c r="BV36" s="28" t="e">
        <f t="shared" si="5"/>
        <v>#DIV/0!</v>
      </c>
      <c r="BW36" t="e">
        <f t="shared" si="2"/>
        <v>#DIV/0!</v>
      </c>
      <c r="CC36" s="28"/>
      <c r="CD36" s="28"/>
      <c r="CE36" s="28"/>
      <c r="CF36" s="28"/>
      <c r="CG36" s="28"/>
      <c r="CH36" s="28"/>
      <c r="CI36" s="28"/>
      <c r="CJ36" s="28"/>
      <c r="CK36" s="28"/>
      <c r="CL36" s="28"/>
      <c r="CM36" s="28"/>
      <c r="CN36" s="28"/>
      <c r="CO36" s="28"/>
      <c r="CP36" s="28"/>
      <c r="CQ36" s="28"/>
      <c r="CR36" s="28"/>
      <c r="CS36" s="28"/>
    </row>
    <row r="37" spans="71:97" x14ac:dyDescent="0.3">
      <c r="BT37">
        <f>BT36-0.11</f>
        <v>0.37000000000000144</v>
      </c>
      <c r="BU37" t="e">
        <f t="shared" si="1"/>
        <v>#DIV/0!</v>
      </c>
      <c r="BV37" s="28" t="e">
        <f t="shared" si="5"/>
        <v>#DIV/0!</v>
      </c>
      <c r="BW37" t="e">
        <f t="shared" si="2"/>
        <v>#DIV/0!</v>
      </c>
      <c r="CC37" s="28"/>
      <c r="CD37" s="28"/>
      <c r="CE37" s="28"/>
      <c r="CF37" s="28"/>
      <c r="CG37" s="28"/>
      <c r="CH37" s="28"/>
      <c r="CI37" s="28"/>
      <c r="CJ37" s="28"/>
      <c r="CK37" s="28"/>
      <c r="CL37" s="28"/>
      <c r="CM37" s="28"/>
      <c r="CN37" s="28"/>
      <c r="CO37" s="28"/>
      <c r="CP37" s="28"/>
      <c r="CQ37" s="28"/>
      <c r="CR37" s="28"/>
      <c r="CS37" s="28"/>
    </row>
    <row r="38" spans="71:97" x14ac:dyDescent="0.3">
      <c r="BT38">
        <f t="shared" si="4"/>
        <v>0.26000000000000145</v>
      </c>
      <c r="BU38" t="e">
        <f t="shared" si="1"/>
        <v>#DIV/0!</v>
      </c>
      <c r="BV38" s="28" t="e">
        <f t="shared" si="5"/>
        <v>#DIV/0!</v>
      </c>
      <c r="BW38" t="e">
        <f t="shared" si="2"/>
        <v>#DIV/0!</v>
      </c>
      <c r="CC38" s="28"/>
      <c r="CD38" s="28"/>
      <c r="CE38" s="28"/>
      <c r="CF38" s="28"/>
      <c r="CG38" s="28"/>
      <c r="CH38" s="28"/>
      <c r="CI38" s="28"/>
      <c r="CJ38" s="28"/>
      <c r="CK38" s="28"/>
      <c r="CL38" s="28"/>
      <c r="CM38" s="28"/>
      <c r="CN38" s="28"/>
      <c r="CO38" s="28"/>
      <c r="CP38" s="28"/>
      <c r="CQ38" s="28"/>
      <c r="CR38" s="28"/>
      <c r="CS38" s="28"/>
    </row>
    <row r="39" spans="71:97" x14ac:dyDescent="0.3">
      <c r="BT39">
        <f t="shared" si="4"/>
        <v>0.15000000000000147</v>
      </c>
      <c r="BU39" t="e">
        <f t="shared" si="1"/>
        <v>#DIV/0!</v>
      </c>
      <c r="BV39" s="28" t="e">
        <f t="shared" si="5"/>
        <v>#DIV/0!</v>
      </c>
      <c r="BW39" t="e">
        <f t="shared" si="2"/>
        <v>#DIV/0!</v>
      </c>
      <c r="CC39" s="28"/>
      <c r="CD39" s="28"/>
      <c r="CE39" s="28"/>
      <c r="CF39" s="28"/>
      <c r="CG39" s="28"/>
      <c r="CH39" s="28"/>
      <c r="CI39" s="28"/>
      <c r="CJ39" s="28"/>
      <c r="CK39" s="28"/>
      <c r="CL39" s="28"/>
      <c r="CM39" s="28"/>
      <c r="CN39" s="28"/>
      <c r="CO39" s="28"/>
      <c r="CP39" s="28"/>
      <c r="CQ39" s="28"/>
      <c r="CR39" s="28"/>
      <c r="CS39" s="28"/>
    </row>
    <row r="40" spans="71:97" x14ac:dyDescent="0.3">
      <c r="BS40">
        <v>0</v>
      </c>
      <c r="BT40">
        <f>BT39-0.11</f>
        <v>4.0000000000001465E-2</v>
      </c>
      <c r="BU40" t="e">
        <f t="shared" si="1"/>
        <v>#DIV/0!</v>
      </c>
      <c r="BW40" t="str">
        <f t="shared" si="2"/>
        <v/>
      </c>
      <c r="CC40" s="28"/>
      <c r="CD40" s="28"/>
      <c r="CE40" s="28"/>
      <c r="CF40" s="28"/>
      <c r="CG40" s="28"/>
      <c r="CH40" s="28"/>
      <c r="CI40" s="28"/>
      <c r="CJ40" s="28"/>
      <c r="CK40" s="28"/>
      <c r="CL40" s="28"/>
      <c r="CM40" s="28"/>
      <c r="CN40" s="28"/>
      <c r="CO40" s="28"/>
      <c r="CP40" s="28"/>
      <c r="CQ40" s="28"/>
      <c r="CR40" s="28"/>
      <c r="CS40" s="28"/>
    </row>
    <row r="41" spans="71:97" x14ac:dyDescent="0.3">
      <c r="CC41" s="28"/>
      <c r="CD41" s="28"/>
      <c r="CE41" s="28"/>
      <c r="CF41" s="28"/>
      <c r="CG41" s="28"/>
      <c r="CH41" s="28"/>
      <c r="CI41" s="28"/>
      <c r="CJ41" s="28"/>
      <c r="CK41" s="28"/>
      <c r="CL41" s="28"/>
      <c r="CM41" s="28"/>
      <c r="CN41" s="28"/>
      <c r="CO41" s="28"/>
      <c r="CP41" s="28"/>
      <c r="CQ41" s="28"/>
      <c r="CR41" s="28"/>
      <c r="CS41" s="28"/>
    </row>
    <row r="42" spans="71:97" x14ac:dyDescent="0.3">
      <c r="CC42" s="28"/>
      <c r="CD42" s="28"/>
      <c r="CE42" s="28"/>
      <c r="CF42" s="28"/>
      <c r="CG42" s="28"/>
      <c r="CH42" s="28"/>
      <c r="CI42" s="28"/>
      <c r="CJ42" s="28"/>
      <c r="CK42" s="28"/>
      <c r="CL42" s="28"/>
      <c r="CM42" s="28"/>
      <c r="CN42" s="28"/>
      <c r="CO42" s="28"/>
      <c r="CP42" s="28"/>
      <c r="CQ42" s="28"/>
      <c r="CR42" s="28"/>
      <c r="CS42" s="28"/>
    </row>
    <row r="43" spans="71:97" x14ac:dyDescent="0.3">
      <c r="CC43" s="28"/>
      <c r="CD43" s="28"/>
      <c r="CE43" s="28"/>
      <c r="CF43" s="28"/>
      <c r="CG43" s="28"/>
      <c r="CH43" s="28"/>
      <c r="CI43" s="28"/>
      <c r="CJ43" s="28"/>
      <c r="CK43" s="28"/>
      <c r="CL43" s="28"/>
      <c r="CM43" s="28"/>
      <c r="CN43" s="28"/>
      <c r="CO43" s="28"/>
      <c r="CP43" s="28"/>
      <c r="CQ43" s="28"/>
      <c r="CR43" s="28"/>
      <c r="CS43" s="28"/>
    </row>
    <row r="44" spans="71:97" x14ac:dyDescent="0.3">
      <c r="CC44" s="28"/>
      <c r="CD44" s="28"/>
      <c r="CE44" s="28"/>
      <c r="CF44" s="28"/>
      <c r="CG44" s="28"/>
      <c r="CH44" s="28"/>
      <c r="CI44" s="28"/>
      <c r="CJ44" s="28"/>
      <c r="CK44" s="28"/>
      <c r="CL44" s="28"/>
      <c r="CM44" s="28"/>
      <c r="CN44" s="28"/>
      <c r="CO44" s="28"/>
      <c r="CP44" s="28"/>
      <c r="CQ44" s="28"/>
      <c r="CR44" s="28"/>
      <c r="CS44" s="28"/>
    </row>
    <row r="45" spans="71:97" x14ac:dyDescent="0.3">
      <c r="CC45" s="28"/>
      <c r="CD45" s="28"/>
      <c r="CE45" s="28"/>
      <c r="CF45" s="28"/>
      <c r="CG45" s="28"/>
      <c r="CH45" s="28"/>
      <c r="CI45" s="28"/>
      <c r="CJ45" s="28"/>
      <c r="CK45" s="28"/>
      <c r="CL45" s="28"/>
      <c r="CM45" s="28"/>
      <c r="CN45" s="28"/>
      <c r="CO45" s="28"/>
      <c r="CP45" s="28"/>
      <c r="CQ45" s="28"/>
      <c r="CR45" s="28"/>
      <c r="CS45" s="28"/>
    </row>
    <row r="46" spans="71:97" x14ac:dyDescent="0.3">
      <c r="CC46" s="28"/>
      <c r="CD46" s="28"/>
      <c r="CE46" s="28"/>
      <c r="CF46" s="28"/>
      <c r="CG46" s="28"/>
      <c r="CH46" s="28"/>
      <c r="CI46" s="28"/>
      <c r="CJ46" s="28"/>
      <c r="CK46" s="28"/>
      <c r="CL46" s="28"/>
      <c r="CM46" s="28"/>
      <c r="CN46" s="28"/>
      <c r="CO46" s="28"/>
      <c r="CP46" s="28"/>
      <c r="CQ46" s="28"/>
      <c r="CR46" s="28"/>
      <c r="CS46" s="28"/>
    </row>
    <row r="47" spans="71:97" x14ac:dyDescent="0.3">
      <c r="CC47" s="28"/>
      <c r="CD47" s="28"/>
      <c r="CE47" s="28"/>
      <c r="CF47" s="28"/>
      <c r="CG47" s="28"/>
      <c r="CH47" s="28"/>
      <c r="CI47" s="28"/>
      <c r="CJ47" s="28"/>
      <c r="CK47" s="28"/>
      <c r="CL47" s="28"/>
      <c r="CM47" s="28"/>
      <c r="CN47" s="28"/>
      <c r="CO47" s="28"/>
      <c r="CP47" s="28"/>
      <c r="CQ47" s="28"/>
      <c r="CR47" s="28"/>
      <c r="CS47" s="28"/>
    </row>
    <row r="48" spans="71:97" x14ac:dyDescent="0.3">
      <c r="CC48" s="28"/>
      <c r="CD48" s="28"/>
      <c r="CE48" s="28"/>
      <c r="CF48" s="28"/>
      <c r="CG48" s="28"/>
      <c r="CH48" s="28"/>
      <c r="CI48" s="28"/>
      <c r="CJ48" s="28"/>
      <c r="CK48" s="28"/>
      <c r="CL48" s="28"/>
      <c r="CM48" s="28"/>
      <c r="CN48" s="28"/>
      <c r="CO48" s="28"/>
      <c r="CP48" s="28"/>
      <c r="CQ48" s="28"/>
      <c r="CR48" s="28"/>
      <c r="CS48" s="28"/>
    </row>
    <row r="49" spans="81:97" x14ac:dyDescent="0.3">
      <c r="CC49" s="28"/>
      <c r="CD49" s="28"/>
      <c r="CE49" s="28"/>
      <c r="CF49" s="28"/>
      <c r="CG49" s="28"/>
      <c r="CH49" s="28"/>
      <c r="CI49" s="28"/>
      <c r="CJ49" s="28"/>
      <c r="CK49" s="28"/>
      <c r="CL49" s="28"/>
      <c r="CM49" s="28"/>
      <c r="CN49" s="28"/>
      <c r="CO49" s="28"/>
      <c r="CP49" s="28"/>
      <c r="CQ49" s="28"/>
      <c r="CR49" s="28"/>
      <c r="CS49" s="28"/>
    </row>
    <row r="50" spans="81:97" x14ac:dyDescent="0.3">
      <c r="CC50" s="28"/>
      <c r="CD50" s="28"/>
      <c r="CE50" s="28"/>
      <c r="CF50" s="28"/>
      <c r="CG50" s="28"/>
      <c r="CH50" s="28"/>
      <c r="CI50" s="28"/>
      <c r="CJ50" s="28"/>
      <c r="CK50" s="28"/>
      <c r="CL50" s="28"/>
      <c r="CM50" s="28"/>
      <c r="CN50" s="28"/>
      <c r="CO50" s="28"/>
      <c r="CP50" s="28"/>
      <c r="CQ50" s="28"/>
      <c r="CR50" s="28"/>
      <c r="CS50" s="28"/>
    </row>
    <row r="51" spans="81:97" x14ac:dyDescent="0.3">
      <c r="CC51" s="28"/>
      <c r="CD51" s="28"/>
      <c r="CE51" s="28"/>
      <c r="CF51" s="28"/>
      <c r="CG51" s="28"/>
      <c r="CH51" s="28"/>
      <c r="CI51" s="28"/>
      <c r="CJ51" s="28"/>
      <c r="CK51" s="28"/>
      <c r="CL51" s="28"/>
      <c r="CM51" s="28"/>
      <c r="CN51" s="28"/>
      <c r="CO51" s="28"/>
      <c r="CP51" s="28"/>
      <c r="CQ51" s="28"/>
      <c r="CR51" s="28"/>
      <c r="CS51" s="28"/>
    </row>
    <row r="52" spans="81:97" x14ac:dyDescent="0.3">
      <c r="CC52" s="28"/>
      <c r="CD52" s="28"/>
      <c r="CE52" s="28"/>
      <c r="CF52" s="28"/>
      <c r="CG52" s="28"/>
      <c r="CH52" s="28"/>
      <c r="CI52" s="28"/>
      <c r="CJ52" s="28"/>
      <c r="CK52" s="28"/>
      <c r="CL52" s="28"/>
      <c r="CM52" s="28"/>
      <c r="CN52" s="28"/>
      <c r="CO52" s="28"/>
      <c r="CP52" s="28"/>
      <c r="CQ52" s="28"/>
      <c r="CR52" s="28"/>
      <c r="CS52" s="28"/>
    </row>
    <row r="53" spans="81:97" x14ac:dyDescent="0.3">
      <c r="CC53" s="28"/>
      <c r="CD53" s="28"/>
      <c r="CE53" s="28"/>
      <c r="CF53" s="28"/>
      <c r="CG53" s="28"/>
      <c r="CH53" s="28"/>
      <c r="CI53" s="28"/>
      <c r="CJ53" s="28"/>
      <c r="CK53" s="28"/>
      <c r="CL53" s="28"/>
      <c r="CM53" s="28"/>
      <c r="CN53" s="28"/>
      <c r="CO53" s="28"/>
      <c r="CP53" s="28"/>
      <c r="CQ53" s="28"/>
      <c r="CR53" s="28"/>
      <c r="CS53" s="28"/>
    </row>
    <row r="54" spans="81:97" x14ac:dyDescent="0.3">
      <c r="CC54" s="28"/>
      <c r="CD54" s="28"/>
      <c r="CE54" s="28"/>
      <c r="CF54" s="28"/>
      <c r="CG54" s="28"/>
      <c r="CH54" s="28"/>
      <c r="CI54" s="28"/>
      <c r="CJ54" s="28"/>
      <c r="CK54" s="28"/>
      <c r="CL54" s="28"/>
      <c r="CM54" s="28"/>
      <c r="CN54" s="28"/>
      <c r="CO54" s="28"/>
      <c r="CP54" s="28"/>
      <c r="CQ54" s="28"/>
      <c r="CR54" s="28"/>
      <c r="CS54" s="28"/>
    </row>
    <row r="55" spans="81:97" x14ac:dyDescent="0.3">
      <c r="CC55" s="28"/>
      <c r="CD55" s="28"/>
      <c r="CE55" s="28"/>
      <c r="CF55" s="28"/>
      <c r="CG55" s="28"/>
      <c r="CH55" s="28"/>
      <c r="CI55" s="28"/>
      <c r="CJ55" s="28"/>
      <c r="CK55" s="28"/>
      <c r="CL55" s="28"/>
      <c r="CM55" s="28"/>
      <c r="CN55" s="28"/>
      <c r="CO55" s="28"/>
      <c r="CP55" s="28"/>
      <c r="CQ55" s="28"/>
      <c r="CR55" s="28"/>
      <c r="CS55" s="28"/>
    </row>
    <row r="56" spans="81:97" x14ac:dyDescent="0.3">
      <c r="CC56" s="28"/>
      <c r="CD56" s="28"/>
      <c r="CE56" s="28"/>
      <c r="CF56" s="28"/>
      <c r="CG56" s="28"/>
      <c r="CH56" s="28"/>
      <c r="CI56" s="28"/>
      <c r="CJ56" s="28"/>
      <c r="CK56" s="28"/>
      <c r="CL56" s="28"/>
      <c r="CM56" s="28"/>
      <c r="CN56" s="28"/>
      <c r="CO56" s="28"/>
      <c r="CP56" s="28"/>
      <c r="CQ56" s="28"/>
      <c r="CR56" s="28"/>
      <c r="CS56" s="28"/>
    </row>
    <row r="57" spans="81:97" x14ac:dyDescent="0.3">
      <c r="CC57" s="28"/>
      <c r="CD57" s="28"/>
      <c r="CE57" s="28"/>
      <c r="CF57" s="28"/>
      <c r="CG57" s="28"/>
      <c r="CH57" s="28"/>
      <c r="CI57" s="28"/>
      <c r="CJ57" s="28"/>
      <c r="CK57" s="28"/>
      <c r="CL57" s="28"/>
      <c r="CM57" s="28"/>
      <c r="CN57" s="28"/>
      <c r="CO57" s="28"/>
      <c r="CP57" s="28"/>
      <c r="CQ57" s="28"/>
      <c r="CR57" s="28"/>
      <c r="CS57" s="28"/>
    </row>
    <row r="58" spans="81:97" x14ac:dyDescent="0.3">
      <c r="CC58" s="28"/>
      <c r="CD58" s="28"/>
      <c r="CE58" s="28"/>
      <c r="CF58" s="28"/>
      <c r="CG58" s="28"/>
      <c r="CH58" s="28"/>
      <c r="CI58" s="28"/>
      <c r="CJ58" s="28"/>
      <c r="CK58" s="28"/>
      <c r="CL58" s="28"/>
      <c r="CM58" s="28"/>
      <c r="CN58" s="28"/>
      <c r="CO58" s="28"/>
      <c r="CP58" s="28"/>
      <c r="CQ58" s="28"/>
      <c r="CR58" s="28"/>
      <c r="CS58" s="28"/>
    </row>
    <row r="59" spans="81:97" x14ac:dyDescent="0.3">
      <c r="CC59" s="28"/>
      <c r="CD59" s="28"/>
      <c r="CE59" s="28"/>
      <c r="CF59" s="28"/>
      <c r="CG59" s="28"/>
      <c r="CH59" s="28"/>
      <c r="CI59" s="28"/>
      <c r="CJ59" s="28"/>
      <c r="CK59" s="28"/>
      <c r="CL59" s="28"/>
      <c r="CM59" s="28"/>
      <c r="CN59" s="28"/>
      <c r="CO59" s="28"/>
      <c r="CP59" s="28"/>
      <c r="CQ59" s="28"/>
      <c r="CR59" s="28"/>
      <c r="CS59" s="28"/>
    </row>
    <row r="60" spans="81:97" x14ac:dyDescent="0.3">
      <c r="CC60" s="28"/>
      <c r="CD60" s="28"/>
      <c r="CE60" s="28"/>
      <c r="CF60" s="28"/>
      <c r="CG60" s="28"/>
      <c r="CH60" s="28"/>
      <c r="CI60" s="28"/>
      <c r="CJ60" s="28"/>
      <c r="CK60" s="28"/>
      <c r="CL60" s="28"/>
      <c r="CM60" s="28"/>
      <c r="CN60" s="28"/>
      <c r="CO60" s="28"/>
      <c r="CP60" s="28"/>
      <c r="CQ60" s="28"/>
      <c r="CR60" s="28"/>
      <c r="CS60" s="28"/>
    </row>
    <row r="61" spans="81:97" x14ac:dyDescent="0.3">
      <c r="CC61" s="28"/>
      <c r="CD61" s="28"/>
      <c r="CE61" s="28"/>
      <c r="CF61" s="28"/>
      <c r="CG61" s="28"/>
      <c r="CH61" s="28"/>
      <c r="CI61" s="28"/>
      <c r="CJ61" s="28"/>
      <c r="CK61" s="28"/>
      <c r="CL61" s="28"/>
      <c r="CM61" s="28"/>
      <c r="CN61" s="28"/>
      <c r="CO61" s="28"/>
      <c r="CP61" s="28"/>
      <c r="CQ61" s="28"/>
      <c r="CR61" s="28"/>
      <c r="CS61" s="28"/>
    </row>
    <row r="62" spans="81:97" x14ac:dyDescent="0.3">
      <c r="CC62" s="28"/>
      <c r="CD62" s="28"/>
      <c r="CE62" s="28"/>
      <c r="CF62" s="28"/>
      <c r="CG62" s="28"/>
      <c r="CH62" s="28"/>
      <c r="CI62" s="28"/>
      <c r="CJ62" s="28"/>
      <c r="CK62" s="28"/>
      <c r="CL62" s="28"/>
      <c r="CM62" s="28"/>
      <c r="CN62" s="28"/>
      <c r="CO62" s="28"/>
      <c r="CP62" s="28"/>
      <c r="CQ62" s="28"/>
      <c r="CR62" s="28"/>
      <c r="CS62" s="28"/>
    </row>
    <row r="63" spans="81:97" x14ac:dyDescent="0.3">
      <c r="CC63" s="28"/>
      <c r="CD63" s="28"/>
      <c r="CE63" s="28"/>
      <c r="CF63" s="28"/>
      <c r="CG63" s="28"/>
      <c r="CH63" s="28"/>
      <c r="CI63" s="28"/>
      <c r="CJ63" s="28"/>
      <c r="CK63" s="28"/>
      <c r="CL63" s="28"/>
      <c r="CM63" s="28"/>
      <c r="CN63" s="28"/>
      <c r="CO63" s="28"/>
      <c r="CP63" s="28"/>
      <c r="CQ63" s="28"/>
      <c r="CR63" s="28"/>
      <c r="CS63" s="28"/>
    </row>
    <row r="64" spans="81:97" x14ac:dyDescent="0.3">
      <c r="CC64" s="28"/>
      <c r="CD64" s="28"/>
      <c r="CE64" s="28"/>
      <c r="CF64" s="28"/>
      <c r="CG64" s="28"/>
      <c r="CH64" s="28"/>
      <c r="CI64" s="28"/>
      <c r="CJ64" s="28"/>
      <c r="CK64" s="28"/>
      <c r="CL64" s="28"/>
      <c r="CM64" s="28"/>
      <c r="CN64" s="28"/>
      <c r="CO64" s="28"/>
      <c r="CP64" s="28"/>
      <c r="CQ64" s="28"/>
      <c r="CR64" s="28"/>
      <c r="CS64" s="28"/>
    </row>
    <row r="65" spans="81:97" x14ac:dyDescent="0.3">
      <c r="CC65" s="28"/>
      <c r="CD65" s="28"/>
      <c r="CE65" s="28"/>
      <c r="CF65" s="28"/>
      <c r="CG65" s="28"/>
      <c r="CH65" s="28"/>
      <c r="CI65" s="28"/>
      <c r="CJ65" s="28"/>
      <c r="CK65" s="28"/>
      <c r="CL65" s="28"/>
      <c r="CM65" s="28"/>
      <c r="CN65" s="28"/>
      <c r="CO65" s="28"/>
      <c r="CP65" s="28"/>
      <c r="CQ65" s="28"/>
      <c r="CR65" s="28"/>
      <c r="CS65" s="28"/>
    </row>
    <row r="66" spans="81:97" x14ac:dyDescent="0.3">
      <c r="CC66" s="28"/>
      <c r="CD66" s="28"/>
      <c r="CE66" s="28"/>
      <c r="CF66" s="28"/>
      <c r="CG66" s="28"/>
      <c r="CH66" s="28"/>
      <c r="CI66" s="28"/>
      <c r="CJ66" s="28"/>
      <c r="CK66" s="28"/>
      <c r="CL66" s="28"/>
      <c r="CM66" s="28"/>
      <c r="CN66" s="28"/>
      <c r="CO66" s="28"/>
      <c r="CP66" s="28"/>
      <c r="CQ66" s="28"/>
      <c r="CR66" s="28"/>
      <c r="CS66" s="28"/>
    </row>
    <row r="67" spans="81:97" x14ac:dyDescent="0.3">
      <c r="CC67" s="28"/>
      <c r="CD67" s="28"/>
      <c r="CE67" s="28"/>
      <c r="CF67" s="28"/>
      <c r="CG67" s="28"/>
      <c r="CH67" s="28"/>
      <c r="CI67" s="28"/>
      <c r="CJ67" s="28"/>
      <c r="CK67" s="28"/>
      <c r="CL67" s="28"/>
      <c r="CM67" s="28"/>
      <c r="CN67" s="28"/>
      <c r="CO67" s="28"/>
      <c r="CP67" s="28"/>
      <c r="CQ67" s="28"/>
      <c r="CR67" s="28"/>
      <c r="CS67" s="28"/>
    </row>
    <row r="68" spans="81:97" x14ac:dyDescent="0.3">
      <c r="CC68" s="28"/>
      <c r="CD68" s="28"/>
      <c r="CE68" s="28"/>
      <c r="CF68" s="28"/>
      <c r="CG68" s="28"/>
      <c r="CH68" s="28"/>
      <c r="CI68" s="28"/>
      <c r="CJ68" s="28"/>
      <c r="CK68" s="28"/>
      <c r="CL68" s="28"/>
      <c r="CM68" s="28"/>
      <c r="CN68" s="28"/>
      <c r="CO68" s="28"/>
      <c r="CP68" s="28"/>
      <c r="CQ68" s="28"/>
      <c r="CR68" s="28"/>
      <c r="CS68" s="28"/>
    </row>
    <row r="69" spans="81:97" x14ac:dyDescent="0.3">
      <c r="CC69" s="28"/>
      <c r="CD69" s="28"/>
      <c r="CE69" s="28"/>
      <c r="CF69" s="28"/>
      <c r="CG69" s="28"/>
      <c r="CH69" s="28"/>
      <c r="CI69" s="28"/>
      <c r="CJ69" s="28"/>
      <c r="CK69" s="28"/>
      <c r="CL69" s="28"/>
      <c r="CM69" s="28"/>
      <c r="CN69" s="28"/>
      <c r="CO69" s="28"/>
      <c r="CP69" s="28"/>
      <c r="CQ69" s="28"/>
      <c r="CR69" s="28"/>
      <c r="CS69" s="28"/>
    </row>
    <row r="70" spans="81:97" x14ac:dyDescent="0.3">
      <c r="CC70" s="28"/>
      <c r="CD70" s="28"/>
      <c r="CE70" s="28"/>
      <c r="CF70" s="28"/>
      <c r="CG70" s="28"/>
      <c r="CH70" s="28"/>
      <c r="CI70" s="28"/>
      <c r="CJ70" s="28"/>
      <c r="CK70" s="28"/>
      <c r="CL70" s="28"/>
      <c r="CM70" s="28"/>
      <c r="CN70" s="28"/>
      <c r="CO70" s="28"/>
      <c r="CP70" s="28"/>
      <c r="CQ70" s="28"/>
      <c r="CR70" s="28"/>
      <c r="CS70" s="28"/>
    </row>
    <row r="71" spans="81:97" x14ac:dyDescent="0.3">
      <c r="CC71" s="28"/>
      <c r="CD71" s="28"/>
      <c r="CE71" s="28"/>
      <c r="CF71" s="28"/>
      <c r="CG71" s="28"/>
      <c r="CH71" s="28"/>
      <c r="CI71" s="28"/>
      <c r="CJ71" s="28"/>
      <c r="CK71" s="28"/>
      <c r="CL71" s="28"/>
      <c r="CM71" s="28"/>
      <c r="CN71" s="28"/>
      <c r="CO71" s="28"/>
      <c r="CP71" s="28"/>
      <c r="CQ71" s="28"/>
      <c r="CR71" s="28"/>
      <c r="CS71" s="28"/>
    </row>
    <row r="72" spans="81:97" x14ac:dyDescent="0.3">
      <c r="CC72" s="28"/>
      <c r="CD72" s="28"/>
      <c r="CE72" s="28"/>
      <c r="CF72" s="28"/>
      <c r="CG72" s="28"/>
      <c r="CH72" s="28"/>
      <c r="CI72" s="28"/>
      <c r="CJ72" s="28"/>
      <c r="CK72" s="28"/>
      <c r="CL72" s="28"/>
      <c r="CM72" s="28"/>
      <c r="CN72" s="28"/>
      <c r="CO72" s="28"/>
      <c r="CP72" s="28"/>
      <c r="CQ72" s="28"/>
      <c r="CR72" s="28"/>
      <c r="CS72" s="28"/>
    </row>
    <row r="73" spans="81:97" x14ac:dyDescent="0.3">
      <c r="CC73" s="28"/>
      <c r="CD73" s="28"/>
      <c r="CE73" s="28"/>
      <c r="CF73" s="28"/>
      <c r="CG73" s="28"/>
      <c r="CH73" s="28"/>
      <c r="CI73" s="28"/>
      <c r="CJ73" s="28"/>
      <c r="CK73" s="28"/>
      <c r="CL73" s="28"/>
      <c r="CM73" s="28"/>
      <c r="CN73" s="28"/>
      <c r="CO73" s="28"/>
      <c r="CP73" s="28"/>
      <c r="CQ73" s="28"/>
      <c r="CR73" s="28"/>
      <c r="CS73" s="28"/>
    </row>
    <row r="74" spans="81:97" x14ac:dyDescent="0.3">
      <c r="CC74" s="28"/>
      <c r="CD74" s="28"/>
      <c r="CE74" s="28"/>
      <c r="CF74" s="28"/>
      <c r="CG74" s="28"/>
      <c r="CH74" s="28"/>
      <c r="CI74" s="28"/>
      <c r="CJ74" s="28"/>
      <c r="CK74" s="28"/>
      <c r="CL74" s="28"/>
      <c r="CM74" s="28"/>
      <c r="CN74" s="28"/>
      <c r="CO74" s="28"/>
      <c r="CP74" s="28"/>
      <c r="CQ74" s="28"/>
      <c r="CR74" s="28"/>
      <c r="CS74" s="28"/>
    </row>
    <row r="75" spans="81:97" x14ac:dyDescent="0.3">
      <c r="CC75" s="28"/>
      <c r="CD75" s="28"/>
      <c r="CE75" s="28"/>
      <c r="CF75" s="28"/>
      <c r="CG75" s="28"/>
      <c r="CH75" s="28"/>
      <c r="CI75" s="28"/>
      <c r="CJ75" s="28"/>
      <c r="CK75" s="28"/>
      <c r="CL75" s="28"/>
      <c r="CM75" s="28"/>
      <c r="CN75" s="28"/>
      <c r="CO75" s="28"/>
      <c r="CP75" s="28"/>
      <c r="CQ75" s="28"/>
      <c r="CR75" s="28"/>
      <c r="CS75" s="28"/>
    </row>
    <row r="76" spans="81:97" x14ac:dyDescent="0.3">
      <c r="CC76" s="28"/>
      <c r="CD76" s="28"/>
      <c r="CE76" s="28"/>
      <c r="CF76" s="28"/>
      <c r="CG76" s="28"/>
      <c r="CH76" s="28"/>
      <c r="CI76" s="28"/>
      <c r="CJ76" s="28"/>
      <c r="CK76" s="28"/>
      <c r="CL76" s="28"/>
      <c r="CM76" s="28"/>
      <c r="CN76" s="28"/>
      <c r="CO76" s="28"/>
      <c r="CP76" s="28"/>
      <c r="CQ76" s="28"/>
      <c r="CR76" s="28"/>
      <c r="CS76" s="28"/>
    </row>
    <row r="77" spans="81:97" x14ac:dyDescent="0.3">
      <c r="CC77" s="28"/>
      <c r="CD77" s="28"/>
      <c r="CE77" s="28"/>
      <c r="CF77" s="28"/>
      <c r="CG77" s="28"/>
      <c r="CH77" s="28"/>
      <c r="CI77" s="28"/>
      <c r="CJ77" s="28"/>
      <c r="CK77" s="28"/>
      <c r="CL77" s="28"/>
      <c r="CM77" s="28"/>
      <c r="CN77" s="28"/>
      <c r="CO77" s="28"/>
      <c r="CP77" s="28"/>
      <c r="CQ77" s="28"/>
      <c r="CR77" s="28"/>
      <c r="CS77" s="28"/>
    </row>
    <row r="78" spans="81:97" x14ac:dyDescent="0.3">
      <c r="CC78" s="28"/>
      <c r="CD78" s="28"/>
      <c r="CE78" s="28"/>
      <c r="CF78" s="28"/>
      <c r="CG78" s="28"/>
      <c r="CH78" s="28"/>
      <c r="CI78" s="28"/>
      <c r="CJ78" s="28"/>
      <c r="CK78" s="28"/>
      <c r="CL78" s="28"/>
      <c r="CM78" s="28"/>
      <c r="CN78" s="28"/>
      <c r="CO78" s="28"/>
      <c r="CP78" s="28"/>
      <c r="CQ78" s="28"/>
      <c r="CR78" s="28"/>
      <c r="CS78" s="28"/>
    </row>
    <row r="79" spans="81:97" x14ac:dyDescent="0.3">
      <c r="CC79" s="28"/>
      <c r="CD79" s="28"/>
      <c r="CE79" s="28"/>
      <c r="CF79" s="28"/>
      <c r="CG79" s="28"/>
      <c r="CH79" s="28"/>
      <c r="CI79" s="28"/>
      <c r="CJ79" s="28"/>
      <c r="CK79" s="28"/>
      <c r="CL79" s="28"/>
      <c r="CM79" s="28"/>
      <c r="CN79" s="28"/>
      <c r="CO79" s="28"/>
      <c r="CP79" s="28"/>
      <c r="CQ79" s="28"/>
      <c r="CR79" s="28"/>
      <c r="CS79" s="28"/>
    </row>
    <row r="80" spans="81:97" x14ac:dyDescent="0.3">
      <c r="CC80" s="28"/>
      <c r="CD80" s="28"/>
      <c r="CE80" s="28"/>
      <c r="CF80" s="28"/>
      <c r="CG80" s="28"/>
      <c r="CH80" s="28"/>
      <c r="CI80" s="28"/>
      <c r="CJ80" s="28"/>
      <c r="CK80" s="28"/>
      <c r="CL80" s="28"/>
      <c r="CM80" s="28"/>
      <c r="CN80" s="28"/>
      <c r="CO80" s="28"/>
      <c r="CP80" s="28"/>
      <c r="CQ80" s="28"/>
      <c r="CR80" s="28"/>
      <c r="CS80" s="28"/>
    </row>
    <row r="81" spans="81:97" x14ac:dyDescent="0.3">
      <c r="CC81" s="28"/>
      <c r="CD81" s="28"/>
      <c r="CE81" s="28"/>
      <c r="CF81" s="28"/>
      <c r="CG81" s="28"/>
      <c r="CH81" s="28"/>
      <c r="CI81" s="28"/>
      <c r="CJ81" s="28"/>
      <c r="CK81" s="28"/>
      <c r="CL81" s="28"/>
      <c r="CM81" s="28"/>
      <c r="CN81" s="28"/>
      <c r="CO81" s="28"/>
      <c r="CP81" s="28"/>
      <c r="CQ81" s="28"/>
      <c r="CR81" s="28"/>
      <c r="CS81" s="28"/>
    </row>
    <row r="82" spans="81:97" x14ac:dyDescent="0.3">
      <c r="CC82" s="28"/>
      <c r="CD82" s="28"/>
      <c r="CE82" s="28"/>
      <c r="CF82" s="28"/>
      <c r="CG82" s="28"/>
      <c r="CH82" s="28"/>
      <c r="CI82" s="28"/>
      <c r="CJ82" s="28"/>
      <c r="CK82" s="28"/>
      <c r="CL82" s="28"/>
      <c r="CM82" s="28"/>
      <c r="CN82" s="28"/>
      <c r="CO82" s="28"/>
      <c r="CP82" s="28"/>
      <c r="CQ82" s="28"/>
      <c r="CR82" s="28"/>
      <c r="CS82" s="28"/>
    </row>
    <row r="83" spans="81:97" x14ac:dyDescent="0.3">
      <c r="CC83" s="28"/>
      <c r="CD83" s="28"/>
      <c r="CE83" s="28"/>
      <c r="CF83" s="28"/>
      <c r="CG83" s="28"/>
      <c r="CH83" s="28"/>
      <c r="CI83" s="28"/>
      <c r="CJ83" s="28"/>
      <c r="CK83" s="28"/>
      <c r="CL83" s="28"/>
      <c r="CM83" s="28"/>
      <c r="CN83" s="28"/>
      <c r="CO83" s="28"/>
      <c r="CP83" s="28"/>
      <c r="CQ83" s="28"/>
      <c r="CR83" s="28"/>
      <c r="CS83" s="28"/>
    </row>
    <row r="84" spans="81:97" x14ac:dyDescent="0.3">
      <c r="CC84" s="28"/>
      <c r="CD84" s="28"/>
      <c r="CE84" s="28"/>
      <c r="CF84" s="28"/>
      <c r="CG84" s="28"/>
      <c r="CH84" s="28"/>
      <c r="CI84" s="28"/>
      <c r="CJ84" s="28"/>
      <c r="CK84" s="28"/>
      <c r="CL84" s="28"/>
      <c r="CM84" s="28"/>
      <c r="CN84" s="28"/>
      <c r="CO84" s="28"/>
      <c r="CP84" s="28"/>
      <c r="CQ84" s="28"/>
      <c r="CR84" s="28"/>
      <c r="CS84" s="28"/>
    </row>
    <row r="85" spans="81:97" x14ac:dyDescent="0.3">
      <c r="CC85" s="28"/>
      <c r="CD85" s="28"/>
      <c r="CE85" s="28"/>
      <c r="CF85" s="28"/>
      <c r="CG85" s="28"/>
      <c r="CH85" s="28"/>
      <c r="CI85" s="28"/>
      <c r="CJ85" s="28"/>
      <c r="CK85" s="28"/>
      <c r="CL85" s="28"/>
      <c r="CM85" s="28"/>
      <c r="CN85" s="28"/>
      <c r="CO85" s="28"/>
      <c r="CP85" s="28"/>
      <c r="CQ85" s="28"/>
      <c r="CR85" s="28"/>
      <c r="CS85" s="28"/>
    </row>
    <row r="86" spans="81:97" x14ac:dyDescent="0.3">
      <c r="CC86" s="28"/>
      <c r="CD86" s="28"/>
      <c r="CE86" s="28"/>
      <c r="CF86" s="28"/>
      <c r="CG86" s="28"/>
      <c r="CH86" s="28"/>
      <c r="CI86" s="28"/>
      <c r="CJ86" s="28"/>
      <c r="CK86" s="28"/>
      <c r="CL86" s="28"/>
      <c r="CM86" s="28"/>
      <c r="CN86" s="28"/>
      <c r="CO86" s="28"/>
      <c r="CP86" s="28"/>
      <c r="CQ86" s="28"/>
      <c r="CR86" s="28"/>
      <c r="CS86" s="28"/>
    </row>
    <row r="87" spans="81:97" x14ac:dyDescent="0.3">
      <c r="CC87" s="28"/>
      <c r="CD87" s="28"/>
      <c r="CE87" s="28"/>
      <c r="CF87" s="28"/>
      <c r="CG87" s="28"/>
      <c r="CH87" s="28"/>
      <c r="CI87" s="28"/>
      <c r="CJ87" s="28"/>
      <c r="CK87" s="28"/>
      <c r="CL87" s="28"/>
      <c r="CM87" s="28"/>
      <c r="CN87" s="28"/>
      <c r="CO87" s="28"/>
      <c r="CP87" s="28"/>
      <c r="CQ87" s="28"/>
      <c r="CR87" s="28"/>
      <c r="CS87" s="28"/>
    </row>
    <row r="88" spans="81:97" x14ac:dyDescent="0.3">
      <c r="CC88" s="28"/>
      <c r="CD88" s="28"/>
      <c r="CE88" s="28"/>
      <c r="CF88" s="28"/>
      <c r="CG88" s="28"/>
      <c r="CH88" s="28"/>
      <c r="CI88" s="28"/>
      <c r="CJ88" s="28"/>
      <c r="CK88" s="28"/>
      <c r="CL88" s="28"/>
      <c r="CM88" s="28"/>
      <c r="CN88" s="28"/>
      <c r="CO88" s="28"/>
      <c r="CP88" s="28"/>
      <c r="CQ88" s="28"/>
      <c r="CR88" s="28"/>
      <c r="CS88" s="28"/>
    </row>
    <row r="89" spans="81:97" x14ac:dyDescent="0.3">
      <c r="CC89" s="28"/>
      <c r="CD89" s="28"/>
      <c r="CE89" s="28"/>
      <c r="CF89" s="28"/>
      <c r="CG89" s="28"/>
      <c r="CH89" s="28"/>
      <c r="CI89" s="28"/>
      <c r="CJ89" s="28"/>
      <c r="CK89" s="28"/>
      <c r="CL89" s="28"/>
      <c r="CM89" s="28"/>
      <c r="CN89" s="28"/>
      <c r="CO89" s="28"/>
      <c r="CP89" s="28"/>
      <c r="CQ89" s="28"/>
      <c r="CR89" s="28"/>
      <c r="CS89" s="28"/>
    </row>
    <row r="90" spans="81:97" x14ac:dyDescent="0.3">
      <c r="CC90" s="28"/>
      <c r="CD90" s="28"/>
      <c r="CE90" s="28"/>
      <c r="CF90" s="28"/>
      <c r="CG90" s="28"/>
      <c r="CH90" s="28"/>
      <c r="CI90" s="28"/>
      <c r="CJ90" s="28"/>
      <c r="CK90" s="28"/>
      <c r="CL90" s="28"/>
      <c r="CM90" s="28"/>
      <c r="CN90" s="28"/>
      <c r="CO90" s="28"/>
      <c r="CP90" s="28"/>
      <c r="CQ90" s="28"/>
      <c r="CR90" s="28"/>
      <c r="CS90" s="28"/>
    </row>
    <row r="91" spans="81:97" x14ac:dyDescent="0.3">
      <c r="CC91" s="28"/>
      <c r="CD91" s="28"/>
      <c r="CE91" s="28"/>
      <c r="CF91" s="28"/>
      <c r="CG91" s="28"/>
      <c r="CH91" s="28"/>
      <c r="CI91" s="28"/>
      <c r="CJ91" s="28"/>
      <c r="CK91" s="28"/>
      <c r="CL91" s="28"/>
      <c r="CM91" s="28"/>
      <c r="CN91" s="28"/>
      <c r="CO91" s="28"/>
      <c r="CP91" s="28"/>
      <c r="CQ91" s="28"/>
      <c r="CR91" s="28"/>
      <c r="CS91" s="28"/>
    </row>
    <row r="92" spans="81:97" x14ac:dyDescent="0.3">
      <c r="CC92" s="28"/>
      <c r="CD92" s="28"/>
      <c r="CE92" s="28"/>
      <c r="CF92" s="28"/>
      <c r="CG92" s="28"/>
      <c r="CH92" s="28"/>
      <c r="CI92" s="28"/>
      <c r="CJ92" s="28"/>
      <c r="CK92" s="28"/>
      <c r="CL92" s="28"/>
      <c r="CM92" s="28"/>
      <c r="CN92" s="28"/>
      <c r="CO92" s="28"/>
      <c r="CP92" s="28"/>
      <c r="CQ92" s="28"/>
      <c r="CR92" s="28"/>
      <c r="CS92" s="28"/>
    </row>
    <row r="93" spans="81:97" x14ac:dyDescent="0.3">
      <c r="CC93" s="28"/>
      <c r="CD93" s="28"/>
      <c r="CE93" s="28"/>
      <c r="CF93" s="28"/>
      <c r="CG93" s="28"/>
      <c r="CH93" s="28"/>
      <c r="CI93" s="28"/>
      <c r="CJ93" s="28"/>
      <c r="CK93" s="28"/>
      <c r="CL93" s="28"/>
      <c r="CM93" s="28"/>
      <c r="CN93" s="28"/>
      <c r="CO93" s="28"/>
      <c r="CP93" s="28"/>
      <c r="CQ93" s="28"/>
      <c r="CR93" s="28"/>
      <c r="CS93" s="28"/>
    </row>
    <row r="94" spans="81:97" x14ac:dyDescent="0.3">
      <c r="CC94" s="28"/>
      <c r="CD94" s="28"/>
      <c r="CE94" s="28"/>
      <c r="CF94" s="28"/>
      <c r="CG94" s="28"/>
      <c r="CH94" s="28"/>
      <c r="CI94" s="28"/>
      <c r="CJ94" s="28"/>
      <c r="CK94" s="28"/>
      <c r="CL94" s="28"/>
      <c r="CM94" s="28"/>
      <c r="CN94" s="28"/>
      <c r="CO94" s="28"/>
      <c r="CP94" s="28"/>
      <c r="CQ94" s="28"/>
      <c r="CR94" s="28"/>
      <c r="CS94" s="28"/>
    </row>
    <row r="95" spans="81:97" x14ac:dyDescent="0.3">
      <c r="CC95" s="28"/>
      <c r="CD95" s="28"/>
      <c r="CE95" s="28"/>
      <c r="CF95" s="28"/>
      <c r="CG95" s="28"/>
      <c r="CH95" s="28"/>
      <c r="CI95" s="28"/>
      <c r="CJ95" s="28"/>
      <c r="CK95" s="28"/>
      <c r="CL95" s="28"/>
      <c r="CM95" s="28"/>
      <c r="CN95" s="28"/>
      <c r="CO95" s="28"/>
      <c r="CP95" s="28"/>
      <c r="CQ95" s="28"/>
      <c r="CR95" s="28"/>
      <c r="CS95" s="28"/>
    </row>
    <row r="96" spans="81:97" x14ac:dyDescent="0.3">
      <c r="CC96" s="28"/>
      <c r="CD96" s="28"/>
      <c r="CE96" s="28"/>
      <c r="CF96" s="28"/>
      <c r="CG96" s="28"/>
      <c r="CH96" s="28"/>
      <c r="CI96" s="28"/>
      <c r="CJ96" s="28"/>
      <c r="CK96" s="28"/>
      <c r="CL96" s="28"/>
      <c r="CM96" s="28"/>
      <c r="CN96" s="28"/>
      <c r="CO96" s="28"/>
      <c r="CP96" s="28"/>
      <c r="CQ96" s="28"/>
      <c r="CR96" s="28"/>
      <c r="CS96" s="28"/>
    </row>
    <row r="97" spans="81:97" x14ac:dyDescent="0.3">
      <c r="CC97" s="28"/>
      <c r="CD97" s="28"/>
      <c r="CE97" s="28"/>
      <c r="CF97" s="28"/>
      <c r="CG97" s="28"/>
      <c r="CH97" s="28"/>
      <c r="CI97" s="28"/>
      <c r="CJ97" s="28"/>
      <c r="CK97" s="28"/>
      <c r="CL97" s="28"/>
      <c r="CM97" s="28"/>
      <c r="CN97" s="28"/>
      <c r="CO97" s="28"/>
      <c r="CP97" s="28"/>
      <c r="CQ97" s="28"/>
      <c r="CR97" s="28"/>
      <c r="CS97" s="28"/>
    </row>
    <row r="98" spans="81:97" x14ac:dyDescent="0.3">
      <c r="CC98" s="28"/>
      <c r="CD98" s="28"/>
      <c r="CE98" s="28"/>
      <c r="CF98" s="28"/>
      <c r="CG98" s="28"/>
      <c r="CH98" s="28"/>
      <c r="CI98" s="28"/>
      <c r="CJ98" s="28"/>
      <c r="CK98" s="28"/>
      <c r="CL98" s="28"/>
      <c r="CM98" s="28"/>
      <c r="CN98" s="28"/>
      <c r="CO98" s="28"/>
      <c r="CP98" s="28"/>
      <c r="CQ98" s="28"/>
      <c r="CR98" s="28"/>
      <c r="CS98" s="28"/>
    </row>
    <row r="99" spans="81:97" x14ac:dyDescent="0.3">
      <c r="CC99" s="28"/>
      <c r="CD99" s="28"/>
      <c r="CE99" s="28"/>
      <c r="CF99" s="28"/>
      <c r="CG99" s="28"/>
      <c r="CH99" s="28"/>
      <c r="CI99" s="28"/>
      <c r="CJ99" s="28"/>
      <c r="CK99" s="28"/>
      <c r="CL99" s="28"/>
      <c r="CM99" s="28"/>
      <c r="CN99" s="28"/>
      <c r="CO99" s="28"/>
      <c r="CP99" s="28"/>
      <c r="CQ99" s="28"/>
      <c r="CR99" s="28"/>
      <c r="CS99" s="28"/>
    </row>
    <row r="100" spans="81:97" x14ac:dyDescent="0.3">
      <c r="CC100" s="28"/>
      <c r="CD100" s="28"/>
      <c r="CE100" s="28"/>
      <c r="CF100" s="28"/>
      <c r="CG100" s="28"/>
      <c r="CH100" s="28"/>
      <c r="CI100" s="28"/>
      <c r="CJ100" s="28"/>
      <c r="CK100" s="28"/>
      <c r="CL100" s="28"/>
      <c r="CM100" s="28"/>
      <c r="CN100" s="28"/>
      <c r="CO100" s="28"/>
      <c r="CP100" s="28"/>
      <c r="CQ100" s="28"/>
      <c r="CR100" s="28"/>
      <c r="CS100" s="28"/>
    </row>
    <row r="101" spans="81:97" x14ac:dyDescent="0.3">
      <c r="CC101" s="28"/>
      <c r="CD101" s="28"/>
      <c r="CE101" s="28"/>
      <c r="CF101" s="28"/>
      <c r="CG101" s="28"/>
      <c r="CH101" s="28"/>
      <c r="CI101" s="28"/>
      <c r="CJ101" s="28"/>
      <c r="CK101" s="28"/>
      <c r="CL101" s="28"/>
      <c r="CM101" s="28"/>
      <c r="CN101" s="28"/>
      <c r="CO101" s="28"/>
      <c r="CP101" s="28"/>
      <c r="CQ101" s="28"/>
      <c r="CR101" s="28"/>
      <c r="CS101" s="28"/>
    </row>
    <row r="102" spans="81:97" x14ac:dyDescent="0.3">
      <c r="CC102" s="28"/>
      <c r="CD102" s="28"/>
      <c r="CE102" s="28"/>
      <c r="CF102" s="28"/>
      <c r="CG102" s="28"/>
      <c r="CH102" s="28"/>
      <c r="CI102" s="28"/>
      <c r="CJ102" s="28"/>
      <c r="CK102" s="28"/>
      <c r="CL102" s="28"/>
      <c r="CM102" s="28"/>
      <c r="CN102" s="28"/>
      <c r="CO102" s="28"/>
      <c r="CP102" s="28"/>
      <c r="CQ102" s="28"/>
      <c r="CR102" s="28"/>
      <c r="CS102" s="28"/>
    </row>
    <row r="103" spans="81:97" x14ac:dyDescent="0.3">
      <c r="CC103" s="28"/>
      <c r="CD103" s="28"/>
      <c r="CE103" s="28"/>
      <c r="CF103" s="28"/>
      <c r="CG103" s="28"/>
      <c r="CH103" s="28"/>
      <c r="CI103" s="28"/>
      <c r="CJ103" s="28"/>
      <c r="CK103" s="28"/>
      <c r="CL103" s="28"/>
      <c r="CM103" s="28"/>
      <c r="CN103" s="28"/>
      <c r="CO103" s="28"/>
      <c r="CP103" s="28"/>
      <c r="CQ103" s="28"/>
      <c r="CR103" s="28"/>
      <c r="CS103" s="28"/>
    </row>
    <row r="104" spans="81:97" x14ac:dyDescent="0.3">
      <c r="CC104" s="28"/>
      <c r="CD104" s="28"/>
      <c r="CE104" s="28"/>
      <c r="CF104" s="28"/>
      <c r="CG104" s="28"/>
      <c r="CH104" s="28"/>
      <c r="CI104" s="28"/>
      <c r="CJ104" s="28"/>
      <c r="CK104" s="28"/>
      <c r="CL104" s="28"/>
      <c r="CM104" s="28"/>
      <c r="CN104" s="28"/>
      <c r="CO104" s="28"/>
      <c r="CP104" s="28"/>
      <c r="CQ104" s="28"/>
      <c r="CR104" s="28"/>
      <c r="CS104" s="28"/>
    </row>
    <row r="105" spans="81:97" x14ac:dyDescent="0.3">
      <c r="CC105" s="28"/>
      <c r="CD105" s="28"/>
      <c r="CE105" s="28"/>
      <c r="CF105" s="28"/>
      <c r="CG105" s="28"/>
      <c r="CH105" s="28"/>
      <c r="CI105" s="28"/>
      <c r="CJ105" s="28"/>
      <c r="CK105" s="28"/>
      <c r="CL105" s="28"/>
      <c r="CM105" s="28"/>
      <c r="CN105" s="28"/>
      <c r="CO105" s="28"/>
      <c r="CP105" s="28"/>
      <c r="CQ105" s="28"/>
      <c r="CR105" s="28"/>
      <c r="CS105" s="28"/>
    </row>
    <row r="106" spans="81:97" x14ac:dyDescent="0.3">
      <c r="CC106" s="28"/>
      <c r="CD106" s="28"/>
      <c r="CE106" s="28"/>
      <c r="CF106" s="28"/>
      <c r="CG106" s="28"/>
      <c r="CH106" s="28"/>
      <c r="CI106" s="28"/>
      <c r="CJ106" s="28"/>
      <c r="CK106" s="28"/>
      <c r="CL106" s="28"/>
      <c r="CM106" s="28"/>
      <c r="CN106" s="28"/>
      <c r="CO106" s="28"/>
      <c r="CP106" s="28"/>
      <c r="CQ106" s="28"/>
      <c r="CR106" s="28"/>
      <c r="CS106" s="28"/>
    </row>
    <row r="107" spans="81:97" x14ac:dyDescent="0.3">
      <c r="CC107" s="28"/>
      <c r="CD107" s="28"/>
      <c r="CE107" s="28"/>
      <c r="CF107" s="28"/>
      <c r="CG107" s="28"/>
      <c r="CH107" s="28"/>
      <c r="CI107" s="28"/>
      <c r="CJ107" s="28"/>
      <c r="CK107" s="28"/>
      <c r="CL107" s="28"/>
      <c r="CM107" s="28"/>
      <c r="CN107" s="28"/>
      <c r="CO107" s="28"/>
      <c r="CP107" s="28"/>
      <c r="CQ107" s="28"/>
      <c r="CR107" s="28"/>
      <c r="CS107" s="28"/>
    </row>
    <row r="108" spans="81:97" x14ac:dyDescent="0.3">
      <c r="CC108" s="28"/>
      <c r="CD108" s="28"/>
      <c r="CE108" s="28"/>
      <c r="CF108" s="28"/>
      <c r="CG108" s="28"/>
      <c r="CH108" s="28"/>
      <c r="CI108" s="28"/>
      <c r="CJ108" s="28"/>
      <c r="CK108" s="28"/>
      <c r="CL108" s="28"/>
      <c r="CM108" s="28"/>
      <c r="CN108" s="28"/>
      <c r="CO108" s="28"/>
      <c r="CP108" s="28"/>
      <c r="CQ108" s="28"/>
      <c r="CR108" s="28"/>
      <c r="CS108" s="28"/>
    </row>
    <row r="109" spans="81:97" x14ac:dyDescent="0.3">
      <c r="CC109" s="28"/>
      <c r="CD109" s="28"/>
      <c r="CE109" s="28"/>
      <c r="CF109" s="28"/>
      <c r="CG109" s="28"/>
      <c r="CH109" s="28"/>
      <c r="CI109" s="28"/>
      <c r="CJ109" s="28"/>
      <c r="CK109" s="28"/>
      <c r="CL109" s="28"/>
      <c r="CM109" s="28"/>
      <c r="CN109" s="28"/>
      <c r="CO109" s="28"/>
      <c r="CP109" s="28"/>
      <c r="CQ109" s="28"/>
      <c r="CR109" s="28"/>
      <c r="CS109" s="28"/>
    </row>
    <row r="110" spans="81:97" x14ac:dyDescent="0.3">
      <c r="CC110" s="28"/>
      <c r="CD110" s="28"/>
      <c r="CE110" s="28"/>
      <c r="CF110" s="28"/>
      <c r="CG110" s="28"/>
      <c r="CH110" s="28"/>
      <c r="CI110" s="28"/>
      <c r="CJ110" s="28"/>
      <c r="CK110" s="28"/>
      <c r="CL110" s="28"/>
      <c r="CM110" s="28"/>
      <c r="CN110" s="28"/>
      <c r="CO110" s="28"/>
      <c r="CP110" s="28"/>
      <c r="CQ110" s="28"/>
      <c r="CR110" s="28"/>
      <c r="CS110" s="28"/>
    </row>
    <row r="111" spans="81:97" x14ac:dyDescent="0.3">
      <c r="CC111" s="28"/>
      <c r="CD111" s="28"/>
      <c r="CE111" s="28"/>
      <c r="CF111" s="28"/>
      <c r="CG111" s="28"/>
      <c r="CH111" s="28"/>
      <c r="CI111" s="28"/>
      <c r="CJ111" s="28"/>
      <c r="CK111" s="28"/>
      <c r="CL111" s="28"/>
      <c r="CM111" s="28"/>
      <c r="CN111" s="28"/>
      <c r="CO111" s="28"/>
      <c r="CP111" s="28"/>
      <c r="CQ111" s="28"/>
      <c r="CR111" s="28"/>
      <c r="CS111" s="28"/>
    </row>
    <row r="112" spans="81:97" x14ac:dyDescent="0.3">
      <c r="CC112" s="28"/>
      <c r="CD112" s="28"/>
      <c r="CE112" s="28"/>
      <c r="CF112" s="28"/>
      <c r="CG112" s="28"/>
      <c r="CH112" s="28"/>
      <c r="CI112" s="28"/>
      <c r="CJ112" s="28"/>
      <c r="CK112" s="28"/>
      <c r="CL112" s="28"/>
      <c r="CM112" s="28"/>
      <c r="CN112" s="28"/>
      <c r="CO112" s="28"/>
      <c r="CP112" s="28"/>
      <c r="CQ112" s="28"/>
      <c r="CR112" s="28"/>
      <c r="CS112" s="28"/>
    </row>
    <row r="113" spans="81:97" x14ac:dyDescent="0.3">
      <c r="CC113" s="28"/>
      <c r="CD113" s="28"/>
      <c r="CE113" s="28"/>
      <c r="CF113" s="28"/>
      <c r="CG113" s="28"/>
      <c r="CH113" s="28"/>
      <c r="CI113" s="28"/>
      <c r="CJ113" s="28"/>
      <c r="CK113" s="28"/>
      <c r="CL113" s="28"/>
      <c r="CM113" s="28"/>
      <c r="CN113" s="28"/>
      <c r="CO113" s="28"/>
      <c r="CP113" s="28"/>
      <c r="CQ113" s="28"/>
      <c r="CR113" s="28"/>
      <c r="CS113" s="28"/>
    </row>
    <row r="114" spans="81:97" x14ac:dyDescent="0.3">
      <c r="CC114" s="28"/>
      <c r="CD114" s="28"/>
      <c r="CE114" s="28"/>
      <c r="CF114" s="28"/>
      <c r="CG114" s="28"/>
      <c r="CH114" s="28"/>
      <c r="CI114" s="28"/>
      <c r="CJ114" s="28"/>
      <c r="CK114" s="28"/>
      <c r="CL114" s="28"/>
      <c r="CM114" s="28"/>
      <c r="CN114" s="28"/>
      <c r="CO114" s="28"/>
      <c r="CP114" s="28"/>
      <c r="CQ114" s="28"/>
      <c r="CR114" s="28"/>
      <c r="CS114" s="28"/>
    </row>
    <row r="115" spans="81:97" x14ac:dyDescent="0.3">
      <c r="CC115" s="28"/>
      <c r="CD115" s="28"/>
      <c r="CE115" s="28"/>
      <c r="CF115" s="28"/>
      <c r="CG115" s="28"/>
      <c r="CH115" s="28"/>
      <c r="CI115" s="28"/>
      <c r="CJ115" s="28"/>
      <c r="CK115" s="28"/>
      <c r="CL115" s="28"/>
      <c r="CM115" s="28"/>
      <c r="CN115" s="28"/>
      <c r="CO115" s="28"/>
      <c r="CP115" s="28"/>
      <c r="CQ115" s="28"/>
      <c r="CR115" s="28"/>
      <c r="CS115" s="28"/>
    </row>
    <row r="116" spans="81:97" x14ac:dyDescent="0.3">
      <c r="CC116" s="28"/>
      <c r="CD116" s="28"/>
      <c r="CE116" s="28"/>
      <c r="CF116" s="28"/>
      <c r="CG116" s="28"/>
      <c r="CH116" s="28"/>
      <c r="CI116" s="28"/>
      <c r="CJ116" s="28"/>
      <c r="CK116" s="28"/>
      <c r="CL116" s="28"/>
      <c r="CM116" s="28"/>
      <c r="CN116" s="28"/>
      <c r="CO116" s="28"/>
      <c r="CP116" s="28"/>
      <c r="CQ116" s="28"/>
      <c r="CR116" s="28"/>
      <c r="CS116" s="28"/>
    </row>
    <row r="117" spans="81:97" x14ac:dyDescent="0.3">
      <c r="CC117" s="28"/>
      <c r="CD117" s="28"/>
      <c r="CE117" s="28"/>
      <c r="CF117" s="28"/>
      <c r="CG117" s="28"/>
      <c r="CH117" s="28"/>
      <c r="CI117" s="28"/>
      <c r="CJ117" s="28"/>
      <c r="CK117" s="28"/>
      <c r="CL117" s="28"/>
      <c r="CM117" s="28"/>
      <c r="CN117" s="28"/>
      <c r="CO117" s="28"/>
      <c r="CP117" s="28"/>
      <c r="CQ117" s="28"/>
      <c r="CR117" s="28"/>
      <c r="CS117" s="28"/>
    </row>
    <row r="118" spans="81:97" x14ac:dyDescent="0.3">
      <c r="CC118" s="28"/>
      <c r="CD118" s="28"/>
      <c r="CE118" s="28"/>
      <c r="CF118" s="28"/>
      <c r="CG118" s="28"/>
      <c r="CH118" s="28"/>
      <c r="CI118" s="28"/>
      <c r="CJ118" s="28"/>
      <c r="CK118" s="28"/>
      <c r="CL118" s="28"/>
      <c r="CM118" s="28"/>
      <c r="CN118" s="28"/>
      <c r="CO118" s="28"/>
      <c r="CP118" s="28"/>
      <c r="CQ118" s="28"/>
      <c r="CR118" s="28"/>
      <c r="CS118" s="28"/>
    </row>
    <row r="119" spans="81:97" x14ac:dyDescent="0.3">
      <c r="CC119" s="28"/>
      <c r="CD119" s="28"/>
      <c r="CE119" s="28"/>
      <c r="CF119" s="28"/>
      <c r="CG119" s="28"/>
      <c r="CH119" s="28"/>
      <c r="CI119" s="28"/>
      <c r="CJ119" s="28"/>
      <c r="CK119" s="28"/>
      <c r="CL119" s="28"/>
      <c r="CM119" s="28"/>
      <c r="CN119" s="28"/>
      <c r="CO119" s="28"/>
      <c r="CP119" s="28"/>
      <c r="CQ119" s="28"/>
      <c r="CR119" s="28"/>
      <c r="CS119" s="28"/>
    </row>
    <row r="120" spans="81:97" x14ac:dyDescent="0.3">
      <c r="CC120" s="28"/>
      <c r="CD120" s="28"/>
      <c r="CE120" s="28"/>
      <c r="CF120" s="28"/>
      <c r="CG120" s="28"/>
      <c r="CH120" s="28"/>
      <c r="CI120" s="28"/>
      <c r="CJ120" s="28"/>
      <c r="CK120" s="28"/>
      <c r="CL120" s="28"/>
      <c r="CM120" s="28"/>
      <c r="CN120" s="28"/>
      <c r="CO120" s="28"/>
      <c r="CP120" s="28"/>
      <c r="CQ120" s="28"/>
      <c r="CR120" s="28"/>
      <c r="CS120" s="28"/>
    </row>
    <row r="121" spans="81:97" x14ac:dyDescent="0.3">
      <c r="CC121" s="28"/>
      <c r="CD121" s="28"/>
      <c r="CE121" s="28"/>
      <c r="CF121" s="28"/>
      <c r="CG121" s="28"/>
      <c r="CH121" s="28"/>
      <c r="CI121" s="28"/>
      <c r="CJ121" s="28"/>
      <c r="CK121" s="28"/>
      <c r="CL121" s="28"/>
      <c r="CM121" s="28"/>
      <c r="CN121" s="28"/>
      <c r="CO121" s="28"/>
      <c r="CP121" s="28"/>
      <c r="CQ121" s="28"/>
      <c r="CR121" s="28"/>
      <c r="CS121" s="28"/>
    </row>
    <row r="122" spans="81:97" x14ac:dyDescent="0.3">
      <c r="CC122" s="28"/>
      <c r="CD122" s="28"/>
      <c r="CE122" s="28"/>
      <c r="CF122" s="28"/>
      <c r="CG122" s="28"/>
      <c r="CH122" s="28"/>
      <c r="CI122" s="28"/>
      <c r="CJ122" s="28"/>
      <c r="CK122" s="28"/>
      <c r="CL122" s="28"/>
      <c r="CM122" s="28"/>
      <c r="CN122" s="28"/>
      <c r="CO122" s="28"/>
      <c r="CP122" s="28"/>
      <c r="CQ122" s="28"/>
      <c r="CR122" s="28"/>
      <c r="CS122" s="28"/>
    </row>
    <row r="123" spans="81:97" x14ac:dyDescent="0.3">
      <c r="CC123" s="28"/>
      <c r="CD123" s="28"/>
      <c r="CE123" s="28"/>
      <c r="CF123" s="28"/>
      <c r="CG123" s="28"/>
      <c r="CH123" s="28"/>
      <c r="CI123" s="28"/>
      <c r="CJ123" s="28"/>
      <c r="CK123" s="28"/>
      <c r="CL123" s="28"/>
      <c r="CM123" s="28"/>
      <c r="CN123" s="28"/>
      <c r="CO123" s="28"/>
      <c r="CP123" s="28"/>
      <c r="CQ123" s="28"/>
      <c r="CR123" s="28"/>
      <c r="CS123" s="28"/>
    </row>
    <row r="124" spans="81:97" x14ac:dyDescent="0.3">
      <c r="CC124" s="28"/>
      <c r="CD124" s="28"/>
      <c r="CE124" s="28"/>
      <c r="CF124" s="28"/>
      <c r="CG124" s="28"/>
      <c r="CH124" s="28"/>
      <c r="CI124" s="28"/>
      <c r="CJ124" s="28"/>
      <c r="CK124" s="28"/>
      <c r="CL124" s="28"/>
      <c r="CM124" s="28"/>
      <c r="CN124" s="28"/>
      <c r="CO124" s="28"/>
      <c r="CP124" s="28"/>
      <c r="CQ124" s="28"/>
      <c r="CR124" s="28"/>
      <c r="CS124" s="28"/>
    </row>
    <row r="125" spans="81:97" x14ac:dyDescent="0.3">
      <c r="CC125" s="28"/>
      <c r="CD125" s="28"/>
      <c r="CE125" s="28"/>
      <c r="CF125" s="28"/>
      <c r="CG125" s="28"/>
      <c r="CH125" s="28"/>
      <c r="CI125" s="28"/>
      <c r="CJ125" s="28"/>
      <c r="CK125" s="28"/>
      <c r="CL125" s="28"/>
      <c r="CM125" s="28"/>
      <c r="CN125" s="28"/>
      <c r="CO125" s="28"/>
      <c r="CP125" s="28"/>
      <c r="CQ125" s="28"/>
      <c r="CR125" s="28"/>
      <c r="CS125" s="28"/>
    </row>
    <row r="126" spans="81:97" x14ac:dyDescent="0.3">
      <c r="CC126" s="28"/>
      <c r="CD126" s="28"/>
      <c r="CE126" s="28"/>
      <c r="CF126" s="28"/>
      <c r="CG126" s="28"/>
      <c r="CH126" s="28"/>
      <c r="CI126" s="28"/>
      <c r="CJ126" s="28"/>
      <c r="CK126" s="28"/>
      <c r="CL126" s="28"/>
      <c r="CM126" s="28"/>
      <c r="CN126" s="28"/>
      <c r="CO126" s="28"/>
      <c r="CP126" s="28"/>
      <c r="CQ126" s="28"/>
      <c r="CR126" s="28"/>
      <c r="CS126" s="28"/>
    </row>
    <row r="127" spans="81:97" x14ac:dyDescent="0.3">
      <c r="CC127" s="28"/>
      <c r="CD127" s="28"/>
      <c r="CE127" s="28"/>
      <c r="CF127" s="28"/>
      <c r="CG127" s="28"/>
      <c r="CH127" s="28"/>
      <c r="CI127" s="28"/>
      <c r="CJ127" s="28"/>
      <c r="CK127" s="28"/>
      <c r="CL127" s="28"/>
      <c r="CM127" s="28"/>
      <c r="CN127" s="28"/>
      <c r="CO127" s="28"/>
      <c r="CP127" s="28"/>
      <c r="CQ127" s="28"/>
      <c r="CR127" s="28"/>
      <c r="CS127" s="28"/>
    </row>
    <row r="128" spans="81:97" x14ac:dyDescent="0.3">
      <c r="CC128" s="28"/>
      <c r="CD128" s="28"/>
      <c r="CE128" s="28"/>
      <c r="CF128" s="28"/>
      <c r="CG128" s="28"/>
      <c r="CH128" s="28"/>
      <c r="CI128" s="28"/>
      <c r="CJ128" s="28"/>
      <c r="CK128" s="28"/>
      <c r="CL128" s="28"/>
      <c r="CM128" s="28"/>
      <c r="CN128" s="28"/>
      <c r="CO128" s="28"/>
      <c r="CP128" s="28"/>
      <c r="CQ128" s="28"/>
      <c r="CR128" s="28"/>
      <c r="CS128" s="28"/>
    </row>
    <row r="129" spans="81:97" x14ac:dyDescent="0.3">
      <c r="CC129" s="28"/>
      <c r="CD129" s="28"/>
      <c r="CE129" s="28"/>
      <c r="CF129" s="28"/>
      <c r="CG129" s="28"/>
      <c r="CH129" s="28"/>
      <c r="CI129" s="28"/>
      <c r="CJ129" s="28"/>
      <c r="CK129" s="28"/>
      <c r="CL129" s="28"/>
      <c r="CM129" s="28"/>
      <c r="CN129" s="28"/>
      <c r="CO129" s="28"/>
      <c r="CP129" s="28"/>
      <c r="CQ129" s="28"/>
      <c r="CR129" s="28"/>
      <c r="CS129" s="28"/>
    </row>
    <row r="130" spans="81:97" x14ac:dyDescent="0.3">
      <c r="CC130" s="28"/>
      <c r="CD130" s="28"/>
      <c r="CE130" s="28"/>
      <c r="CF130" s="28"/>
      <c r="CG130" s="28"/>
      <c r="CH130" s="28"/>
      <c r="CI130" s="28"/>
      <c r="CJ130" s="28"/>
      <c r="CK130" s="28"/>
      <c r="CL130" s="28"/>
      <c r="CM130" s="28"/>
      <c r="CN130" s="28"/>
      <c r="CO130" s="28"/>
      <c r="CP130" s="28"/>
      <c r="CQ130" s="28"/>
      <c r="CR130" s="28"/>
      <c r="CS130" s="28"/>
    </row>
    <row r="131" spans="81:97" x14ac:dyDescent="0.3">
      <c r="CC131" s="28"/>
      <c r="CD131" s="28"/>
      <c r="CE131" s="28"/>
      <c r="CF131" s="28"/>
      <c r="CG131" s="28"/>
      <c r="CH131" s="28"/>
      <c r="CI131" s="28"/>
      <c r="CJ131" s="28"/>
      <c r="CK131" s="28"/>
      <c r="CL131" s="28"/>
      <c r="CM131" s="28"/>
      <c r="CN131" s="28"/>
      <c r="CO131" s="28"/>
      <c r="CP131" s="28"/>
      <c r="CQ131" s="28"/>
      <c r="CR131" s="28"/>
      <c r="CS131" s="28"/>
    </row>
    <row r="132" spans="81:97" x14ac:dyDescent="0.3">
      <c r="CC132" s="28"/>
      <c r="CD132" s="28"/>
      <c r="CE132" s="28"/>
      <c r="CF132" s="28"/>
      <c r="CG132" s="28"/>
      <c r="CH132" s="28"/>
      <c r="CI132" s="28"/>
      <c r="CJ132" s="28"/>
      <c r="CK132" s="28"/>
      <c r="CL132" s="28"/>
      <c r="CM132" s="28"/>
      <c r="CN132" s="28"/>
      <c r="CO132" s="28"/>
      <c r="CP132" s="28"/>
      <c r="CQ132" s="28"/>
      <c r="CR132" s="28"/>
      <c r="CS132" s="28"/>
    </row>
    <row r="133" spans="81:97" x14ac:dyDescent="0.3">
      <c r="CC133" s="28"/>
      <c r="CD133" s="28"/>
      <c r="CE133" s="28"/>
      <c r="CF133" s="28"/>
      <c r="CG133" s="28"/>
      <c r="CH133" s="28"/>
      <c r="CI133" s="28"/>
      <c r="CJ133" s="28"/>
      <c r="CK133" s="28"/>
      <c r="CL133" s="28"/>
      <c r="CM133" s="28"/>
      <c r="CN133" s="28"/>
      <c r="CO133" s="28"/>
      <c r="CP133" s="28"/>
      <c r="CQ133" s="28"/>
      <c r="CR133" s="28"/>
      <c r="CS133" s="28"/>
    </row>
    <row r="134" spans="81:97" x14ac:dyDescent="0.3">
      <c r="CC134" s="28"/>
      <c r="CD134" s="28"/>
      <c r="CE134" s="28"/>
      <c r="CF134" s="28"/>
      <c r="CG134" s="28"/>
      <c r="CH134" s="28"/>
      <c r="CI134" s="28"/>
      <c r="CJ134" s="28"/>
      <c r="CK134" s="28"/>
      <c r="CL134" s="28"/>
      <c r="CM134" s="28"/>
      <c r="CN134" s="28"/>
      <c r="CO134" s="28"/>
      <c r="CP134" s="28"/>
      <c r="CQ134" s="28"/>
      <c r="CR134" s="28"/>
      <c r="CS134" s="28"/>
    </row>
    <row r="135" spans="81:97" x14ac:dyDescent="0.3">
      <c r="CC135" s="28"/>
      <c r="CD135" s="28"/>
      <c r="CE135" s="28"/>
      <c r="CF135" s="28"/>
      <c r="CG135" s="28"/>
      <c r="CH135" s="28"/>
      <c r="CI135" s="28"/>
      <c r="CJ135" s="28"/>
      <c r="CK135" s="28"/>
      <c r="CL135" s="28"/>
      <c r="CM135" s="28"/>
      <c r="CN135" s="28"/>
      <c r="CO135" s="28"/>
      <c r="CP135" s="28"/>
      <c r="CQ135" s="28"/>
      <c r="CR135" s="28"/>
      <c r="CS135" s="28"/>
    </row>
    <row r="136" spans="81:97" x14ac:dyDescent="0.3">
      <c r="CC136" s="28"/>
      <c r="CD136" s="28"/>
      <c r="CE136" s="28"/>
      <c r="CF136" s="28"/>
      <c r="CG136" s="28"/>
      <c r="CH136" s="28"/>
      <c r="CI136" s="28"/>
      <c r="CJ136" s="28"/>
      <c r="CK136" s="28"/>
      <c r="CL136" s="28"/>
      <c r="CM136" s="28"/>
      <c r="CN136" s="28"/>
      <c r="CO136" s="28"/>
      <c r="CP136" s="28"/>
      <c r="CQ136" s="28"/>
      <c r="CR136" s="28"/>
      <c r="CS136" s="28"/>
    </row>
    <row r="137" spans="81:97" x14ac:dyDescent="0.3">
      <c r="CC137" s="28"/>
      <c r="CD137" s="28"/>
      <c r="CE137" s="28"/>
      <c r="CF137" s="28"/>
      <c r="CG137" s="28"/>
      <c r="CH137" s="28"/>
      <c r="CI137" s="28"/>
      <c r="CJ137" s="28"/>
      <c r="CK137" s="28"/>
      <c r="CL137" s="28"/>
      <c r="CM137" s="28"/>
      <c r="CN137" s="28"/>
      <c r="CO137" s="28"/>
      <c r="CP137" s="28"/>
      <c r="CQ137" s="28"/>
      <c r="CR137" s="28"/>
      <c r="CS137" s="28"/>
    </row>
    <row r="138" spans="81:97" x14ac:dyDescent="0.3">
      <c r="CC138" s="28"/>
      <c r="CD138" s="28"/>
      <c r="CE138" s="28"/>
      <c r="CF138" s="28"/>
      <c r="CG138" s="28"/>
      <c r="CH138" s="28"/>
      <c r="CI138" s="28"/>
      <c r="CJ138" s="28"/>
      <c r="CK138" s="28"/>
      <c r="CL138" s="28"/>
      <c r="CM138" s="28"/>
      <c r="CN138" s="28"/>
      <c r="CO138" s="28"/>
      <c r="CP138" s="28"/>
      <c r="CQ138" s="28"/>
      <c r="CR138" s="28"/>
      <c r="CS138" s="28"/>
    </row>
    <row r="139" spans="81:97" x14ac:dyDescent="0.3">
      <c r="CC139" s="28"/>
      <c r="CD139" s="28"/>
      <c r="CE139" s="28"/>
      <c r="CF139" s="28"/>
      <c r="CG139" s="28"/>
      <c r="CH139" s="28"/>
      <c r="CI139" s="28"/>
      <c r="CJ139" s="28"/>
      <c r="CK139" s="28"/>
      <c r="CL139" s="28"/>
      <c r="CM139" s="28"/>
      <c r="CN139" s="28"/>
      <c r="CO139" s="28"/>
      <c r="CP139" s="28"/>
      <c r="CQ139" s="28"/>
      <c r="CR139" s="28"/>
      <c r="CS139" s="28"/>
    </row>
    <row r="140" spans="81:97" x14ac:dyDescent="0.3">
      <c r="CC140" s="28"/>
      <c r="CD140" s="28"/>
      <c r="CE140" s="28"/>
      <c r="CF140" s="28"/>
      <c r="CG140" s="28"/>
      <c r="CH140" s="28"/>
      <c r="CI140" s="28"/>
      <c r="CJ140" s="28"/>
      <c r="CK140" s="28"/>
      <c r="CL140" s="28"/>
      <c r="CM140" s="28"/>
      <c r="CN140" s="28"/>
      <c r="CO140" s="28"/>
      <c r="CP140" s="28"/>
      <c r="CQ140" s="28"/>
      <c r="CR140" s="28"/>
      <c r="CS140" s="28"/>
    </row>
    <row r="141" spans="81:97" x14ac:dyDescent="0.3">
      <c r="CC141" s="28"/>
      <c r="CD141" s="28"/>
      <c r="CE141" s="28"/>
      <c r="CF141" s="28"/>
      <c r="CG141" s="28"/>
      <c r="CH141" s="28"/>
      <c r="CI141" s="28"/>
      <c r="CJ141" s="28"/>
      <c r="CK141" s="28"/>
      <c r="CL141" s="28"/>
      <c r="CM141" s="28"/>
      <c r="CN141" s="28"/>
      <c r="CO141" s="28"/>
      <c r="CP141" s="28"/>
      <c r="CQ141" s="28"/>
      <c r="CR141" s="28"/>
      <c r="CS141" s="28"/>
    </row>
    <row r="142" spans="81:97" x14ac:dyDescent="0.3">
      <c r="CC142" s="28"/>
      <c r="CD142" s="28"/>
      <c r="CE142" s="28"/>
      <c r="CF142" s="28"/>
      <c r="CG142" s="28"/>
      <c r="CH142" s="28"/>
      <c r="CI142" s="28"/>
      <c r="CJ142" s="28"/>
      <c r="CK142" s="28"/>
      <c r="CL142" s="28"/>
      <c r="CM142" s="28"/>
      <c r="CN142" s="28"/>
      <c r="CO142" s="28"/>
      <c r="CP142" s="28"/>
      <c r="CQ142" s="28"/>
      <c r="CR142" s="28"/>
      <c r="CS142" s="28"/>
    </row>
    <row r="143" spans="81:97" x14ac:dyDescent="0.3">
      <c r="CC143" s="28"/>
      <c r="CD143" s="28"/>
      <c r="CE143" s="28"/>
      <c r="CF143" s="28"/>
      <c r="CG143" s="28"/>
      <c r="CH143" s="28"/>
      <c r="CI143" s="28"/>
      <c r="CJ143" s="28"/>
      <c r="CK143" s="28"/>
      <c r="CL143" s="28"/>
      <c r="CM143" s="28"/>
      <c r="CN143" s="28"/>
      <c r="CO143" s="28"/>
      <c r="CP143" s="28"/>
      <c r="CQ143" s="28"/>
      <c r="CR143" s="28"/>
      <c r="CS143" s="28"/>
    </row>
    <row r="144" spans="81:97" x14ac:dyDescent="0.3">
      <c r="CC144" s="28"/>
      <c r="CD144" s="28"/>
      <c r="CE144" s="28"/>
      <c r="CF144" s="28"/>
      <c r="CG144" s="28"/>
      <c r="CH144" s="28"/>
      <c r="CI144" s="28"/>
      <c r="CJ144" s="28"/>
      <c r="CK144" s="28"/>
      <c r="CL144" s="28"/>
      <c r="CM144" s="28"/>
      <c r="CN144" s="28"/>
      <c r="CO144" s="28"/>
      <c r="CP144" s="28"/>
      <c r="CQ144" s="28"/>
      <c r="CR144" s="28"/>
      <c r="CS144" s="28"/>
    </row>
    <row r="145" spans="81:97" x14ac:dyDescent="0.3">
      <c r="CC145" s="28"/>
      <c r="CD145" s="28"/>
      <c r="CE145" s="28"/>
      <c r="CF145" s="28"/>
      <c r="CG145" s="28"/>
      <c r="CH145" s="28"/>
      <c r="CI145" s="28"/>
      <c r="CJ145" s="28"/>
      <c r="CK145" s="28"/>
      <c r="CL145" s="28"/>
      <c r="CM145" s="28"/>
      <c r="CN145" s="28"/>
      <c r="CO145" s="28"/>
      <c r="CP145" s="28"/>
      <c r="CQ145" s="28"/>
      <c r="CR145" s="28"/>
      <c r="CS145" s="28"/>
    </row>
    <row r="146" spans="81:97" x14ac:dyDescent="0.3">
      <c r="CC146" s="28"/>
      <c r="CD146" s="28"/>
      <c r="CE146" s="28"/>
      <c r="CF146" s="28"/>
      <c r="CG146" s="28"/>
      <c r="CH146" s="28"/>
      <c r="CI146" s="28"/>
      <c r="CJ146" s="28"/>
      <c r="CK146" s="28"/>
      <c r="CL146" s="28"/>
      <c r="CM146" s="28"/>
      <c r="CN146" s="28"/>
      <c r="CO146" s="28"/>
      <c r="CP146" s="28"/>
      <c r="CQ146" s="28"/>
      <c r="CR146" s="28"/>
      <c r="CS146" s="28"/>
    </row>
    <row r="147" spans="81:97" x14ac:dyDescent="0.3">
      <c r="CC147" s="28"/>
      <c r="CD147" s="28"/>
      <c r="CE147" s="28"/>
      <c r="CF147" s="28"/>
      <c r="CG147" s="28"/>
      <c r="CH147" s="28"/>
      <c r="CI147" s="28"/>
      <c r="CJ147" s="28"/>
      <c r="CK147" s="28"/>
      <c r="CL147" s="28"/>
      <c r="CM147" s="28"/>
      <c r="CN147" s="28"/>
      <c r="CO147" s="28"/>
      <c r="CP147" s="28"/>
      <c r="CQ147" s="28"/>
      <c r="CR147" s="28"/>
      <c r="CS147" s="28"/>
    </row>
    <row r="148" spans="81:97" x14ac:dyDescent="0.3">
      <c r="CC148" s="28"/>
      <c r="CD148" s="28"/>
      <c r="CE148" s="28"/>
      <c r="CF148" s="28"/>
      <c r="CG148" s="28"/>
      <c r="CH148" s="28"/>
      <c r="CI148" s="28"/>
      <c r="CJ148" s="28"/>
      <c r="CK148" s="28"/>
      <c r="CL148" s="28"/>
      <c r="CM148" s="28"/>
      <c r="CN148" s="28"/>
      <c r="CO148" s="28"/>
      <c r="CP148" s="28"/>
      <c r="CQ148" s="28"/>
      <c r="CR148" s="28"/>
      <c r="CS148" s="28"/>
    </row>
    <row r="149" spans="81:97" x14ac:dyDescent="0.3">
      <c r="CC149" s="28"/>
      <c r="CD149" s="28"/>
      <c r="CE149" s="28"/>
      <c r="CF149" s="28"/>
      <c r="CG149" s="28"/>
      <c r="CH149" s="28"/>
      <c r="CI149" s="28"/>
      <c r="CJ149" s="28"/>
      <c r="CK149" s="28"/>
      <c r="CL149" s="28"/>
      <c r="CM149" s="28"/>
      <c r="CN149" s="28"/>
      <c r="CO149" s="28"/>
      <c r="CP149" s="28"/>
      <c r="CQ149" s="28"/>
      <c r="CR149" s="28"/>
      <c r="CS149" s="28"/>
    </row>
    <row r="150" spans="81:97" x14ac:dyDescent="0.3">
      <c r="CC150" s="28"/>
      <c r="CD150" s="28"/>
      <c r="CE150" s="28"/>
      <c r="CF150" s="28"/>
      <c r="CG150" s="28"/>
      <c r="CH150" s="28"/>
      <c r="CI150" s="28"/>
      <c r="CJ150" s="28"/>
      <c r="CK150" s="28"/>
      <c r="CL150" s="28"/>
      <c r="CM150" s="28"/>
      <c r="CN150" s="28"/>
      <c r="CO150" s="28"/>
      <c r="CP150" s="28"/>
      <c r="CQ150" s="28"/>
      <c r="CR150" s="28"/>
      <c r="CS150" s="28"/>
    </row>
    <row r="151" spans="81:97" x14ac:dyDescent="0.3">
      <c r="CC151" s="28"/>
      <c r="CD151" s="28"/>
      <c r="CE151" s="28"/>
      <c r="CF151" s="28"/>
      <c r="CG151" s="28"/>
      <c r="CH151" s="28"/>
      <c r="CI151" s="28"/>
      <c r="CJ151" s="28"/>
      <c r="CK151" s="28"/>
      <c r="CL151" s="28"/>
      <c r="CM151" s="28"/>
      <c r="CN151" s="28"/>
      <c r="CO151" s="28"/>
      <c r="CP151" s="28"/>
      <c r="CQ151" s="28"/>
      <c r="CR151" s="28"/>
      <c r="CS151" s="28"/>
    </row>
    <row r="152" spans="81:97" x14ac:dyDescent="0.3">
      <c r="CC152" s="28"/>
      <c r="CD152" s="28"/>
      <c r="CE152" s="28"/>
      <c r="CF152" s="28"/>
      <c r="CG152" s="28"/>
      <c r="CH152" s="28"/>
      <c r="CI152" s="28"/>
      <c r="CJ152" s="28"/>
      <c r="CK152" s="28"/>
      <c r="CL152" s="28"/>
      <c r="CM152" s="28"/>
      <c r="CN152" s="28"/>
      <c r="CO152" s="28"/>
      <c r="CP152" s="28"/>
      <c r="CQ152" s="28"/>
      <c r="CR152" s="28"/>
      <c r="CS152" s="28"/>
    </row>
    <row r="153" spans="81:97" x14ac:dyDescent="0.3">
      <c r="CC153" s="28"/>
      <c r="CD153" s="28"/>
      <c r="CE153" s="28"/>
      <c r="CF153" s="28"/>
      <c r="CG153" s="28"/>
      <c r="CH153" s="28"/>
      <c r="CI153" s="28"/>
      <c r="CJ153" s="28"/>
      <c r="CK153" s="28"/>
      <c r="CL153" s="28"/>
      <c r="CM153" s="28"/>
      <c r="CN153" s="28"/>
      <c r="CO153" s="28"/>
      <c r="CP153" s="28"/>
      <c r="CQ153" s="28"/>
      <c r="CR153" s="28"/>
      <c r="CS153" s="28"/>
    </row>
    <row r="154" spans="81:97" x14ac:dyDescent="0.3">
      <c r="CC154" s="28"/>
      <c r="CD154" s="28"/>
      <c r="CE154" s="28"/>
      <c r="CF154" s="28"/>
      <c r="CG154" s="28"/>
      <c r="CH154" s="28"/>
      <c r="CI154" s="28"/>
      <c r="CJ154" s="28"/>
      <c r="CK154" s="28"/>
      <c r="CL154" s="28"/>
      <c r="CM154" s="28"/>
      <c r="CN154" s="28"/>
      <c r="CO154" s="28"/>
      <c r="CP154" s="28"/>
      <c r="CQ154" s="28"/>
      <c r="CR154" s="28"/>
      <c r="CS154" s="28"/>
    </row>
    <row r="155" spans="81:97" x14ac:dyDescent="0.3">
      <c r="CC155" s="28"/>
      <c r="CD155" s="28"/>
      <c r="CE155" s="28"/>
      <c r="CF155" s="28"/>
      <c r="CG155" s="28"/>
      <c r="CH155" s="28"/>
      <c r="CI155" s="28"/>
      <c r="CJ155" s="28"/>
      <c r="CK155" s="28"/>
      <c r="CL155" s="28"/>
      <c r="CM155" s="28"/>
      <c r="CN155" s="28"/>
      <c r="CO155" s="28"/>
      <c r="CP155" s="28"/>
      <c r="CQ155" s="28"/>
      <c r="CR155" s="28"/>
      <c r="CS155" s="28"/>
    </row>
    <row r="156" spans="81:97" x14ac:dyDescent="0.3">
      <c r="CC156" s="28"/>
      <c r="CD156" s="28"/>
      <c r="CE156" s="28"/>
      <c r="CF156" s="28"/>
      <c r="CG156" s="28"/>
      <c r="CH156" s="28"/>
      <c r="CI156" s="28"/>
      <c r="CJ156" s="28"/>
      <c r="CK156" s="28"/>
      <c r="CL156" s="28"/>
      <c r="CM156" s="28"/>
      <c r="CN156" s="28"/>
      <c r="CO156" s="28"/>
      <c r="CP156" s="28"/>
      <c r="CQ156" s="28"/>
      <c r="CR156" s="28"/>
      <c r="CS156" s="28"/>
    </row>
    <row r="157" spans="81:97" x14ac:dyDescent="0.3">
      <c r="CC157" s="28"/>
      <c r="CD157" s="28"/>
      <c r="CE157" s="28"/>
      <c r="CF157" s="28"/>
      <c r="CG157" s="28"/>
      <c r="CH157" s="28"/>
      <c r="CI157" s="28"/>
      <c r="CJ157" s="28"/>
      <c r="CK157" s="28"/>
      <c r="CL157" s="28"/>
      <c r="CM157" s="28"/>
      <c r="CN157" s="28"/>
      <c r="CO157" s="28"/>
      <c r="CP157" s="28"/>
      <c r="CQ157" s="28"/>
      <c r="CR157" s="28"/>
      <c r="CS157" s="28"/>
    </row>
    <row r="158" spans="81:97" x14ac:dyDescent="0.3">
      <c r="CC158" s="28"/>
      <c r="CD158" s="28"/>
      <c r="CE158" s="28"/>
      <c r="CF158" s="28"/>
      <c r="CG158" s="28"/>
      <c r="CH158" s="28"/>
      <c r="CI158" s="28"/>
      <c r="CJ158" s="28"/>
      <c r="CK158" s="28"/>
      <c r="CL158" s="28"/>
      <c r="CM158" s="28"/>
      <c r="CN158" s="28"/>
      <c r="CO158" s="28"/>
      <c r="CP158" s="28"/>
      <c r="CQ158" s="28"/>
      <c r="CR158" s="28"/>
      <c r="CS158" s="28"/>
    </row>
    <row r="159" spans="81:97" x14ac:dyDescent="0.3">
      <c r="CC159" s="28"/>
      <c r="CD159" s="28"/>
      <c r="CE159" s="28"/>
      <c r="CF159" s="28"/>
      <c r="CG159" s="28"/>
      <c r="CH159" s="28"/>
      <c r="CI159" s="28"/>
      <c r="CJ159" s="28"/>
      <c r="CK159" s="28"/>
      <c r="CL159" s="28"/>
      <c r="CM159" s="28"/>
      <c r="CN159" s="28"/>
      <c r="CO159" s="28"/>
      <c r="CP159" s="28"/>
      <c r="CQ159" s="28"/>
      <c r="CR159" s="28"/>
      <c r="CS159" s="28"/>
    </row>
    <row r="160" spans="81:97" x14ac:dyDescent="0.3">
      <c r="CC160" s="28"/>
      <c r="CD160" s="28"/>
      <c r="CE160" s="28"/>
      <c r="CF160" s="28"/>
      <c r="CG160" s="28"/>
      <c r="CH160" s="28"/>
      <c r="CI160" s="28"/>
      <c r="CJ160" s="28"/>
      <c r="CK160" s="28"/>
      <c r="CL160" s="28"/>
      <c r="CM160" s="28"/>
      <c r="CN160" s="28"/>
      <c r="CO160" s="28"/>
      <c r="CP160" s="28"/>
      <c r="CQ160" s="28"/>
      <c r="CR160" s="28"/>
      <c r="CS160" s="28"/>
    </row>
    <row r="161" spans="81:97" x14ac:dyDescent="0.3">
      <c r="CC161" s="28"/>
      <c r="CD161" s="28"/>
      <c r="CE161" s="28"/>
      <c r="CF161" s="28"/>
      <c r="CG161" s="28"/>
      <c r="CH161" s="28"/>
      <c r="CI161" s="28"/>
      <c r="CJ161" s="28"/>
      <c r="CK161" s="28"/>
      <c r="CL161" s="28"/>
      <c r="CM161" s="28"/>
      <c r="CN161" s="28"/>
      <c r="CO161" s="28"/>
      <c r="CP161" s="28"/>
      <c r="CQ161" s="28"/>
      <c r="CR161" s="28"/>
      <c r="CS161" s="28"/>
    </row>
    <row r="162" spans="81:97" x14ac:dyDescent="0.3">
      <c r="CC162" s="28"/>
      <c r="CD162" s="28"/>
      <c r="CE162" s="28"/>
      <c r="CF162" s="28"/>
      <c r="CG162" s="28"/>
      <c r="CH162" s="28"/>
      <c r="CI162" s="28"/>
      <c r="CJ162" s="28"/>
      <c r="CK162" s="28"/>
      <c r="CL162" s="28"/>
      <c r="CM162" s="28"/>
      <c r="CN162" s="28"/>
      <c r="CO162" s="28"/>
      <c r="CP162" s="28"/>
      <c r="CQ162" s="28"/>
      <c r="CR162" s="28"/>
      <c r="CS162" s="28"/>
    </row>
    <row r="163" spans="81:97" x14ac:dyDescent="0.3">
      <c r="CC163" s="28"/>
      <c r="CD163" s="28"/>
      <c r="CE163" s="28"/>
      <c r="CF163" s="28"/>
      <c r="CG163" s="28"/>
      <c r="CH163" s="28"/>
      <c r="CI163" s="28"/>
      <c r="CJ163" s="28"/>
      <c r="CK163" s="28"/>
      <c r="CL163" s="28"/>
      <c r="CM163" s="28"/>
      <c r="CN163" s="28"/>
      <c r="CO163" s="28"/>
      <c r="CP163" s="28"/>
      <c r="CQ163" s="28"/>
      <c r="CR163" s="28"/>
      <c r="CS163" s="28"/>
    </row>
    <row r="164" spans="81:97" x14ac:dyDescent="0.3">
      <c r="CC164" s="28"/>
      <c r="CD164" s="28"/>
      <c r="CE164" s="28"/>
      <c r="CF164" s="28"/>
      <c r="CG164" s="28"/>
      <c r="CH164" s="28"/>
      <c r="CI164" s="28"/>
      <c r="CJ164" s="28"/>
      <c r="CK164" s="28"/>
      <c r="CL164" s="28"/>
      <c r="CM164" s="28"/>
      <c r="CN164" s="28"/>
      <c r="CO164" s="28"/>
      <c r="CP164" s="28"/>
      <c r="CQ164" s="28"/>
      <c r="CR164" s="28"/>
      <c r="CS164" s="28"/>
    </row>
    <row r="165" spans="81:97" x14ac:dyDescent="0.3">
      <c r="CC165" s="28"/>
      <c r="CD165" s="28"/>
      <c r="CE165" s="28"/>
      <c r="CF165" s="28"/>
      <c r="CG165" s="28"/>
      <c r="CH165" s="28"/>
      <c r="CI165" s="28"/>
      <c r="CJ165" s="28"/>
      <c r="CK165" s="28"/>
      <c r="CL165" s="28"/>
      <c r="CM165" s="28"/>
      <c r="CN165" s="28"/>
      <c r="CO165" s="28"/>
      <c r="CP165" s="28"/>
      <c r="CQ165" s="28"/>
      <c r="CR165" s="28"/>
      <c r="CS165" s="28"/>
    </row>
    <row r="166" spans="81:97" x14ac:dyDescent="0.3">
      <c r="CC166" s="28"/>
      <c r="CD166" s="28"/>
      <c r="CE166" s="28"/>
      <c r="CF166" s="28"/>
      <c r="CG166" s="28"/>
      <c r="CH166" s="28"/>
      <c r="CI166" s="28"/>
      <c r="CJ166" s="28"/>
      <c r="CK166" s="28"/>
      <c r="CL166" s="28"/>
      <c r="CM166" s="28"/>
      <c r="CN166" s="28"/>
      <c r="CO166" s="28"/>
      <c r="CP166" s="28"/>
      <c r="CQ166" s="28"/>
      <c r="CR166" s="28"/>
      <c r="CS166" s="28"/>
    </row>
    <row r="167" spans="81:97" x14ac:dyDescent="0.3">
      <c r="CC167" s="28"/>
      <c r="CD167" s="28"/>
      <c r="CE167" s="28"/>
      <c r="CF167" s="28"/>
      <c r="CG167" s="28"/>
      <c r="CH167" s="28"/>
      <c r="CI167" s="28"/>
      <c r="CJ167" s="28"/>
      <c r="CK167" s="28"/>
      <c r="CL167" s="28"/>
      <c r="CM167" s="28"/>
      <c r="CN167" s="28"/>
      <c r="CO167" s="28"/>
      <c r="CP167" s="28"/>
      <c r="CQ167" s="28"/>
      <c r="CR167" s="28"/>
      <c r="CS167" s="28"/>
    </row>
    <row r="168" spans="81:97" x14ac:dyDescent="0.3">
      <c r="CC168" s="28"/>
      <c r="CD168" s="28"/>
      <c r="CE168" s="28"/>
      <c r="CF168" s="28"/>
      <c r="CG168" s="28"/>
      <c r="CH168" s="28"/>
      <c r="CI168" s="28"/>
      <c r="CJ168" s="28"/>
      <c r="CK168" s="28"/>
      <c r="CL168" s="28"/>
      <c r="CM168" s="28"/>
      <c r="CN168" s="28"/>
      <c r="CO168" s="28"/>
      <c r="CP168" s="28"/>
      <c r="CQ168" s="28"/>
      <c r="CR168" s="28"/>
      <c r="CS168" s="28"/>
    </row>
    <row r="169" spans="81:97" x14ac:dyDescent="0.3">
      <c r="CC169" s="28"/>
      <c r="CD169" s="28"/>
      <c r="CE169" s="28"/>
      <c r="CF169" s="28"/>
      <c r="CG169" s="28"/>
      <c r="CH169" s="28"/>
      <c r="CI169" s="28"/>
      <c r="CJ169" s="28"/>
      <c r="CK169" s="28"/>
      <c r="CL169" s="28"/>
      <c r="CM169" s="28"/>
      <c r="CN169" s="28"/>
      <c r="CO169" s="28"/>
      <c r="CP169" s="28"/>
      <c r="CQ169" s="28"/>
      <c r="CR169" s="28"/>
      <c r="CS169" s="28"/>
    </row>
    <row r="170" spans="81:97" x14ac:dyDescent="0.3">
      <c r="CC170" s="28"/>
      <c r="CD170" s="28"/>
      <c r="CE170" s="28"/>
      <c r="CF170" s="28"/>
      <c r="CG170" s="28"/>
      <c r="CH170" s="28"/>
      <c r="CI170" s="28"/>
      <c r="CJ170" s="28"/>
      <c r="CK170" s="28"/>
      <c r="CL170" s="28"/>
      <c r="CM170" s="28"/>
      <c r="CN170" s="28"/>
      <c r="CO170" s="28"/>
      <c r="CP170" s="28"/>
      <c r="CQ170" s="28"/>
      <c r="CR170" s="28"/>
      <c r="CS170" s="28"/>
    </row>
    <row r="171" spans="81:97" x14ac:dyDescent="0.3">
      <c r="CC171" s="28"/>
      <c r="CD171" s="28"/>
      <c r="CE171" s="28"/>
      <c r="CF171" s="28"/>
      <c r="CG171" s="28"/>
      <c r="CH171" s="28"/>
      <c r="CI171" s="28"/>
      <c r="CJ171" s="28"/>
      <c r="CK171" s="28"/>
      <c r="CL171" s="28"/>
      <c r="CM171" s="28"/>
      <c r="CN171" s="28"/>
      <c r="CO171" s="28"/>
      <c r="CP171" s="28"/>
      <c r="CQ171" s="28"/>
      <c r="CR171" s="28"/>
      <c r="CS171" s="28"/>
    </row>
    <row r="172" spans="81:97" x14ac:dyDescent="0.3">
      <c r="CC172" s="28"/>
      <c r="CD172" s="28"/>
      <c r="CE172" s="28"/>
      <c r="CF172" s="28"/>
      <c r="CG172" s="28"/>
      <c r="CH172" s="28"/>
      <c r="CI172" s="28"/>
      <c r="CJ172" s="28"/>
      <c r="CK172" s="28"/>
      <c r="CL172" s="28"/>
      <c r="CM172" s="28"/>
      <c r="CN172" s="28"/>
      <c r="CO172" s="28"/>
      <c r="CP172" s="28"/>
      <c r="CQ172" s="28"/>
      <c r="CR172" s="28"/>
      <c r="CS172" s="28"/>
    </row>
    <row r="173" spans="81:97" x14ac:dyDescent="0.3">
      <c r="CC173" s="28"/>
      <c r="CD173" s="28"/>
      <c r="CE173" s="28"/>
      <c r="CF173" s="28"/>
      <c r="CG173" s="28"/>
      <c r="CH173" s="28"/>
      <c r="CI173" s="28"/>
      <c r="CJ173" s="28"/>
      <c r="CK173" s="28"/>
      <c r="CL173" s="28"/>
      <c r="CM173" s="28"/>
      <c r="CN173" s="28"/>
      <c r="CO173" s="28"/>
      <c r="CP173" s="28"/>
      <c r="CQ173" s="28"/>
      <c r="CR173" s="28"/>
      <c r="CS173" s="28"/>
    </row>
    <row r="174" spans="81:97" x14ac:dyDescent="0.3">
      <c r="CC174" s="28"/>
      <c r="CD174" s="28"/>
      <c r="CE174" s="28"/>
      <c r="CF174" s="28"/>
      <c r="CG174" s="28"/>
      <c r="CH174" s="28"/>
      <c r="CI174" s="28"/>
      <c r="CJ174" s="28"/>
      <c r="CK174" s="28"/>
      <c r="CL174" s="28"/>
      <c r="CM174" s="28"/>
      <c r="CN174" s="28"/>
      <c r="CO174" s="28"/>
      <c r="CP174" s="28"/>
      <c r="CQ174" s="28"/>
      <c r="CR174" s="28"/>
      <c r="CS174" s="28"/>
    </row>
    <row r="175" spans="81:97" x14ac:dyDescent="0.3">
      <c r="CC175" s="28"/>
      <c r="CD175" s="28"/>
      <c r="CE175" s="28"/>
      <c r="CF175" s="28"/>
      <c r="CG175" s="28"/>
      <c r="CH175" s="28"/>
      <c r="CI175" s="28"/>
      <c r="CJ175" s="28"/>
      <c r="CK175" s="28"/>
      <c r="CL175" s="28"/>
      <c r="CM175" s="28"/>
      <c r="CN175" s="28"/>
      <c r="CO175" s="28"/>
      <c r="CP175" s="28"/>
      <c r="CQ175" s="28"/>
      <c r="CR175" s="28"/>
      <c r="CS175" s="28"/>
    </row>
    <row r="176" spans="81:97" x14ac:dyDescent="0.3">
      <c r="CC176" s="28"/>
      <c r="CD176" s="28"/>
      <c r="CE176" s="28"/>
      <c r="CF176" s="28"/>
      <c r="CG176" s="28"/>
      <c r="CH176" s="28"/>
      <c r="CI176" s="28"/>
      <c r="CJ176" s="28"/>
      <c r="CK176" s="28"/>
      <c r="CL176" s="28"/>
      <c r="CM176" s="28"/>
      <c r="CN176" s="28"/>
      <c r="CO176" s="28"/>
      <c r="CP176" s="28"/>
      <c r="CQ176" s="28"/>
      <c r="CR176" s="28"/>
      <c r="CS176" s="28"/>
    </row>
    <row r="177" spans="81:97" x14ac:dyDescent="0.3">
      <c r="CC177" s="28"/>
      <c r="CD177" s="28"/>
      <c r="CE177" s="28"/>
      <c r="CF177" s="28"/>
      <c r="CG177" s="28"/>
      <c r="CH177" s="28"/>
      <c r="CI177" s="28"/>
      <c r="CJ177" s="28"/>
      <c r="CK177" s="28"/>
      <c r="CL177" s="28"/>
      <c r="CM177" s="28"/>
      <c r="CN177" s="28"/>
      <c r="CO177" s="28"/>
      <c r="CP177" s="28"/>
      <c r="CQ177" s="28"/>
      <c r="CR177" s="28"/>
      <c r="CS177" s="28"/>
    </row>
    <row r="178" spans="81:97" x14ac:dyDescent="0.3">
      <c r="CC178" s="28"/>
      <c r="CD178" s="28"/>
      <c r="CE178" s="28"/>
      <c r="CF178" s="28"/>
      <c r="CG178" s="28"/>
      <c r="CH178" s="28"/>
      <c r="CI178" s="28"/>
      <c r="CJ178" s="28"/>
      <c r="CK178" s="28"/>
      <c r="CL178" s="28"/>
      <c r="CM178" s="28"/>
      <c r="CN178" s="28"/>
      <c r="CO178" s="28"/>
      <c r="CP178" s="28"/>
      <c r="CQ178" s="28"/>
      <c r="CR178" s="28"/>
      <c r="CS178" s="28"/>
    </row>
    <row r="179" spans="81:97" x14ac:dyDescent="0.3">
      <c r="CC179" s="28"/>
      <c r="CD179" s="28"/>
      <c r="CE179" s="28"/>
      <c r="CF179" s="28"/>
      <c r="CG179" s="28"/>
      <c r="CH179" s="28"/>
      <c r="CI179" s="28"/>
      <c r="CJ179" s="28"/>
      <c r="CK179" s="28"/>
      <c r="CL179" s="28"/>
      <c r="CM179" s="28"/>
      <c r="CN179" s="28"/>
      <c r="CO179" s="28"/>
      <c r="CP179" s="28"/>
      <c r="CQ179" s="28"/>
      <c r="CR179" s="28"/>
      <c r="CS179" s="28"/>
    </row>
    <row r="180" spans="81:97" x14ac:dyDescent="0.3">
      <c r="CC180" s="28"/>
      <c r="CD180" s="28"/>
      <c r="CE180" s="28"/>
      <c r="CF180" s="28"/>
      <c r="CG180" s="28"/>
      <c r="CH180" s="28"/>
      <c r="CI180" s="28"/>
      <c r="CJ180" s="28"/>
      <c r="CK180" s="28"/>
      <c r="CL180" s="28"/>
      <c r="CM180" s="28"/>
      <c r="CN180" s="28"/>
      <c r="CO180" s="28"/>
      <c r="CP180" s="28"/>
      <c r="CQ180" s="28"/>
      <c r="CR180" s="28"/>
      <c r="CS180" s="28"/>
    </row>
    <row r="181" spans="81:97" x14ac:dyDescent="0.3">
      <c r="CC181" s="28"/>
      <c r="CD181" s="28"/>
      <c r="CE181" s="28"/>
      <c r="CF181" s="28"/>
      <c r="CG181" s="28"/>
      <c r="CH181" s="28"/>
      <c r="CI181" s="28"/>
      <c r="CJ181" s="28"/>
      <c r="CK181" s="28"/>
      <c r="CL181" s="28"/>
      <c r="CM181" s="28"/>
      <c r="CN181" s="28"/>
      <c r="CO181" s="28"/>
      <c r="CP181" s="28"/>
      <c r="CQ181" s="28"/>
      <c r="CR181" s="28"/>
      <c r="CS181" s="28"/>
    </row>
    <row r="182" spans="81:97" x14ac:dyDescent="0.3">
      <c r="CC182" s="28"/>
      <c r="CD182" s="28"/>
      <c r="CE182" s="28"/>
      <c r="CF182" s="28"/>
      <c r="CG182" s="28"/>
      <c r="CH182" s="28"/>
      <c r="CI182" s="28"/>
      <c r="CJ182" s="28"/>
      <c r="CK182" s="28"/>
      <c r="CL182" s="28"/>
      <c r="CM182" s="28"/>
      <c r="CN182" s="28"/>
      <c r="CO182" s="28"/>
      <c r="CP182" s="28"/>
      <c r="CQ182" s="28"/>
      <c r="CR182" s="28"/>
      <c r="CS182" s="28"/>
    </row>
    <row r="183" spans="81:97" x14ac:dyDescent="0.3">
      <c r="CC183" s="28"/>
      <c r="CD183" s="28"/>
      <c r="CE183" s="28"/>
      <c r="CF183" s="28"/>
      <c r="CG183" s="28"/>
      <c r="CH183" s="28"/>
      <c r="CI183" s="28"/>
      <c r="CJ183" s="28"/>
      <c r="CK183" s="28"/>
      <c r="CL183" s="28"/>
      <c r="CM183" s="28"/>
      <c r="CN183" s="28"/>
      <c r="CO183" s="28"/>
      <c r="CP183" s="28"/>
      <c r="CQ183" s="28"/>
      <c r="CR183" s="28"/>
      <c r="CS183" s="28"/>
    </row>
    <row r="184" spans="81:97" x14ac:dyDescent="0.3">
      <c r="CC184" s="28"/>
      <c r="CD184" s="28"/>
      <c r="CE184" s="28"/>
      <c r="CF184" s="28"/>
      <c r="CG184" s="28"/>
      <c r="CH184" s="28"/>
      <c r="CI184" s="28"/>
      <c r="CJ184" s="28"/>
      <c r="CK184" s="28"/>
      <c r="CL184" s="28"/>
      <c r="CM184" s="28"/>
      <c r="CN184" s="28"/>
      <c r="CO184" s="28"/>
      <c r="CP184" s="28"/>
      <c r="CQ184" s="28"/>
      <c r="CR184" s="28"/>
      <c r="CS184" s="28"/>
    </row>
    <row r="185" spans="81:97" x14ac:dyDescent="0.3">
      <c r="CC185" s="28"/>
      <c r="CD185" s="28"/>
      <c r="CE185" s="28"/>
      <c r="CF185" s="28"/>
      <c r="CG185" s="28"/>
      <c r="CH185" s="28"/>
      <c r="CI185" s="28"/>
      <c r="CJ185" s="28"/>
      <c r="CK185" s="28"/>
      <c r="CL185" s="28"/>
      <c r="CM185" s="28"/>
      <c r="CN185" s="28"/>
      <c r="CO185" s="28"/>
      <c r="CP185" s="28"/>
      <c r="CQ185" s="28"/>
      <c r="CR185" s="28"/>
      <c r="CS185" s="28"/>
    </row>
    <row r="186" spans="81:97" x14ac:dyDescent="0.3">
      <c r="CC186" s="28"/>
      <c r="CD186" s="28"/>
      <c r="CE186" s="28"/>
      <c r="CF186" s="28"/>
      <c r="CG186" s="28"/>
      <c r="CH186" s="28"/>
      <c r="CI186" s="28"/>
      <c r="CJ186" s="28"/>
      <c r="CK186" s="28"/>
      <c r="CL186" s="28"/>
      <c r="CM186" s="28"/>
      <c r="CN186" s="28"/>
      <c r="CO186" s="28"/>
      <c r="CP186" s="28"/>
      <c r="CQ186" s="28"/>
      <c r="CR186" s="28"/>
      <c r="CS186" s="28"/>
    </row>
    <row r="187" spans="81:97" x14ac:dyDescent="0.3">
      <c r="CC187" s="28"/>
      <c r="CD187" s="28"/>
      <c r="CE187" s="28"/>
      <c r="CF187" s="28"/>
      <c r="CG187" s="28"/>
      <c r="CH187" s="28"/>
      <c r="CI187" s="28"/>
      <c r="CJ187" s="28"/>
      <c r="CK187" s="28"/>
      <c r="CL187" s="28"/>
      <c r="CM187" s="28"/>
      <c r="CN187" s="28"/>
      <c r="CO187" s="28"/>
      <c r="CP187" s="28"/>
      <c r="CQ187" s="28"/>
      <c r="CR187" s="28"/>
      <c r="CS187" s="28"/>
    </row>
    <row r="188" spans="81:97" x14ac:dyDescent="0.3">
      <c r="CC188" s="28"/>
      <c r="CD188" s="28"/>
      <c r="CE188" s="28"/>
      <c r="CF188" s="28"/>
      <c r="CG188" s="28"/>
      <c r="CH188" s="28"/>
      <c r="CI188" s="28"/>
      <c r="CJ188" s="28"/>
      <c r="CK188" s="28"/>
      <c r="CL188" s="28"/>
      <c r="CM188" s="28"/>
      <c r="CN188" s="28"/>
      <c r="CO188" s="28"/>
      <c r="CP188" s="28"/>
      <c r="CQ188" s="28"/>
      <c r="CR188" s="28"/>
      <c r="CS188" s="28"/>
    </row>
    <row r="189" spans="81:97" x14ac:dyDescent="0.3">
      <c r="CC189" s="28"/>
      <c r="CD189" s="28"/>
      <c r="CE189" s="28"/>
      <c r="CF189" s="28"/>
      <c r="CG189" s="28"/>
      <c r="CH189" s="28"/>
      <c r="CI189" s="28"/>
      <c r="CJ189" s="28"/>
      <c r="CK189" s="28"/>
      <c r="CL189" s="28"/>
      <c r="CM189" s="28"/>
      <c r="CN189" s="28"/>
      <c r="CO189" s="28"/>
      <c r="CP189" s="28"/>
      <c r="CQ189" s="28"/>
      <c r="CR189" s="28"/>
      <c r="CS189" s="28"/>
    </row>
    <row r="190" spans="81:97" x14ac:dyDescent="0.3">
      <c r="CC190" s="28"/>
      <c r="CD190" s="28"/>
      <c r="CE190" s="28"/>
      <c r="CF190" s="28"/>
      <c r="CG190" s="28"/>
      <c r="CH190" s="28"/>
      <c r="CI190" s="28"/>
      <c r="CJ190" s="28"/>
      <c r="CK190" s="28"/>
      <c r="CL190" s="28"/>
      <c r="CM190" s="28"/>
      <c r="CN190" s="28"/>
      <c r="CO190" s="28"/>
      <c r="CP190" s="28"/>
      <c r="CQ190" s="28"/>
      <c r="CR190" s="28"/>
      <c r="CS190" s="28"/>
    </row>
    <row r="191" spans="81:97" x14ac:dyDescent="0.3">
      <c r="CC191" s="28"/>
      <c r="CD191" s="28"/>
      <c r="CE191" s="28"/>
      <c r="CF191" s="28"/>
      <c r="CG191" s="28"/>
      <c r="CH191" s="28"/>
      <c r="CI191" s="28"/>
      <c r="CJ191" s="28"/>
      <c r="CK191" s="28"/>
      <c r="CL191" s="28"/>
      <c r="CM191" s="28"/>
      <c r="CN191" s="28"/>
      <c r="CO191" s="28"/>
      <c r="CP191" s="28"/>
      <c r="CQ191" s="28"/>
      <c r="CR191" s="28"/>
      <c r="CS191" s="28"/>
    </row>
    <row r="192" spans="81:97" x14ac:dyDescent="0.3">
      <c r="CC192" s="28"/>
      <c r="CD192" s="28"/>
      <c r="CE192" s="28"/>
      <c r="CF192" s="28"/>
      <c r="CG192" s="28"/>
      <c r="CH192" s="28"/>
      <c r="CI192" s="28"/>
      <c r="CJ192" s="28"/>
      <c r="CK192" s="28"/>
      <c r="CL192" s="28"/>
      <c r="CM192" s="28"/>
      <c r="CN192" s="28"/>
      <c r="CO192" s="28"/>
      <c r="CP192" s="28"/>
      <c r="CQ192" s="28"/>
      <c r="CR192" s="28"/>
      <c r="CS192" s="28"/>
    </row>
    <row r="193" spans="81:97" x14ac:dyDescent="0.3">
      <c r="CC193" s="28"/>
      <c r="CD193" s="28"/>
      <c r="CE193" s="28"/>
      <c r="CF193" s="28"/>
      <c r="CG193" s="28"/>
      <c r="CH193" s="28"/>
      <c r="CI193" s="28"/>
      <c r="CJ193" s="28"/>
      <c r="CK193" s="28"/>
      <c r="CL193" s="28"/>
      <c r="CM193" s="28"/>
      <c r="CN193" s="28"/>
      <c r="CO193" s="28"/>
      <c r="CP193" s="28"/>
      <c r="CQ193" s="28"/>
      <c r="CR193" s="28"/>
      <c r="CS193" s="28"/>
    </row>
    <row r="194" spans="81:97" x14ac:dyDescent="0.3">
      <c r="CC194" s="28"/>
      <c r="CD194" s="28"/>
      <c r="CE194" s="28"/>
      <c r="CF194" s="28"/>
      <c r="CG194" s="28"/>
      <c r="CH194" s="28"/>
      <c r="CI194" s="28"/>
      <c r="CJ194" s="28"/>
      <c r="CK194" s="28"/>
      <c r="CL194" s="28"/>
      <c r="CM194" s="28"/>
      <c r="CN194" s="28"/>
      <c r="CO194" s="28"/>
      <c r="CP194" s="28"/>
      <c r="CQ194" s="28"/>
      <c r="CR194" s="28"/>
      <c r="CS194" s="28"/>
    </row>
    <row r="195" spans="81:97" x14ac:dyDescent="0.3">
      <c r="CC195" s="28"/>
      <c r="CD195" s="28"/>
      <c r="CE195" s="28"/>
      <c r="CF195" s="28"/>
      <c r="CG195" s="28"/>
      <c r="CH195" s="28"/>
      <c r="CI195" s="28"/>
      <c r="CJ195" s="28"/>
      <c r="CK195" s="28"/>
      <c r="CL195" s="28"/>
      <c r="CM195" s="28"/>
      <c r="CN195" s="28"/>
      <c r="CO195" s="28"/>
      <c r="CP195" s="28"/>
      <c r="CQ195" s="28"/>
      <c r="CR195" s="28"/>
      <c r="CS195" s="28"/>
    </row>
    <row r="196" spans="81:97" x14ac:dyDescent="0.3">
      <c r="CC196" s="28"/>
      <c r="CD196" s="28"/>
      <c r="CE196" s="28"/>
      <c r="CF196" s="28"/>
      <c r="CG196" s="28"/>
      <c r="CH196" s="28"/>
      <c r="CI196" s="28"/>
      <c r="CJ196" s="28"/>
      <c r="CK196" s="28"/>
      <c r="CL196" s="28"/>
      <c r="CM196" s="28"/>
      <c r="CN196" s="28"/>
      <c r="CO196" s="28"/>
      <c r="CP196" s="28"/>
      <c r="CQ196" s="28"/>
      <c r="CR196" s="28"/>
      <c r="CS196" s="28"/>
    </row>
    <row r="197" spans="81:97" x14ac:dyDescent="0.3">
      <c r="CC197" s="28"/>
      <c r="CD197" s="28"/>
      <c r="CE197" s="28"/>
      <c r="CF197" s="28"/>
      <c r="CG197" s="28"/>
      <c r="CH197" s="28"/>
      <c r="CI197" s="28"/>
      <c r="CJ197" s="28"/>
      <c r="CK197" s="28"/>
      <c r="CL197" s="28"/>
      <c r="CM197" s="28"/>
      <c r="CN197" s="28"/>
      <c r="CO197" s="28"/>
      <c r="CP197" s="28"/>
      <c r="CQ197" s="28"/>
      <c r="CR197" s="28"/>
      <c r="CS197" s="28"/>
    </row>
    <row r="198" spans="81:97" x14ac:dyDescent="0.3">
      <c r="CC198" s="28"/>
      <c r="CD198" s="28"/>
      <c r="CE198" s="28"/>
      <c r="CF198" s="28"/>
      <c r="CG198" s="28"/>
      <c r="CH198" s="28"/>
      <c r="CI198" s="28"/>
      <c r="CJ198" s="28"/>
      <c r="CK198" s="28"/>
      <c r="CL198" s="28"/>
      <c r="CM198" s="28"/>
      <c r="CN198" s="28"/>
      <c r="CO198" s="28"/>
      <c r="CP198" s="28"/>
      <c r="CQ198" s="28"/>
      <c r="CR198" s="28"/>
      <c r="CS198" s="28"/>
    </row>
    <row r="199" spans="81:97" x14ac:dyDescent="0.3">
      <c r="CC199" s="28"/>
      <c r="CD199" s="28"/>
      <c r="CE199" s="28"/>
      <c r="CF199" s="28"/>
      <c r="CG199" s="28"/>
      <c r="CH199" s="28"/>
      <c r="CI199" s="28"/>
      <c r="CJ199" s="28"/>
      <c r="CK199" s="28"/>
      <c r="CL199" s="28"/>
      <c r="CM199" s="28"/>
      <c r="CN199" s="28"/>
      <c r="CO199" s="28"/>
      <c r="CP199" s="28"/>
      <c r="CQ199" s="28"/>
      <c r="CR199" s="28"/>
      <c r="CS199" s="28"/>
    </row>
    <row r="200" spans="81:97" x14ac:dyDescent="0.3">
      <c r="CC200" s="28"/>
      <c r="CD200" s="28"/>
      <c r="CE200" s="28"/>
      <c r="CF200" s="28"/>
      <c r="CG200" s="28"/>
      <c r="CH200" s="28"/>
      <c r="CI200" s="28"/>
      <c r="CJ200" s="28"/>
      <c r="CK200" s="28"/>
      <c r="CL200" s="28"/>
      <c r="CM200" s="28"/>
      <c r="CN200" s="28"/>
      <c r="CO200" s="28"/>
      <c r="CP200" s="28"/>
      <c r="CQ200" s="28"/>
      <c r="CR200" s="28"/>
      <c r="CS200" s="28"/>
    </row>
    <row r="201" spans="81:97" x14ac:dyDescent="0.3">
      <c r="CC201" s="28"/>
      <c r="CD201" s="28"/>
      <c r="CE201" s="28"/>
      <c r="CF201" s="28"/>
      <c r="CG201" s="28"/>
      <c r="CH201" s="28"/>
      <c r="CI201" s="28"/>
      <c r="CJ201" s="28"/>
      <c r="CK201" s="28"/>
      <c r="CL201" s="28"/>
      <c r="CM201" s="28"/>
      <c r="CN201" s="28"/>
      <c r="CO201" s="28"/>
      <c r="CP201" s="28"/>
      <c r="CQ201" s="28"/>
      <c r="CR201" s="28"/>
      <c r="CS201" s="28"/>
    </row>
    <row r="202" spans="81:97" x14ac:dyDescent="0.3">
      <c r="CC202" s="28"/>
      <c r="CD202" s="28"/>
      <c r="CE202" s="28"/>
      <c r="CF202" s="28"/>
      <c r="CG202" s="28"/>
      <c r="CH202" s="28"/>
      <c r="CI202" s="28"/>
      <c r="CJ202" s="28"/>
      <c r="CK202" s="28"/>
      <c r="CL202" s="28"/>
      <c r="CM202" s="28"/>
      <c r="CN202" s="28"/>
      <c r="CO202" s="28"/>
      <c r="CP202" s="28"/>
      <c r="CQ202" s="28"/>
      <c r="CR202" s="28"/>
      <c r="CS202" s="28"/>
    </row>
    <row r="203" spans="81:97" x14ac:dyDescent="0.3">
      <c r="CC203" s="28"/>
      <c r="CD203" s="28"/>
      <c r="CE203" s="28"/>
      <c r="CF203" s="28"/>
      <c r="CG203" s="28"/>
      <c r="CH203" s="28"/>
      <c r="CI203" s="28"/>
      <c r="CJ203" s="28"/>
      <c r="CK203" s="28"/>
      <c r="CL203" s="28"/>
      <c r="CM203" s="28"/>
      <c r="CN203" s="28"/>
      <c r="CO203" s="28"/>
      <c r="CP203" s="28"/>
      <c r="CQ203" s="28"/>
      <c r="CR203" s="28"/>
      <c r="CS203" s="28"/>
    </row>
    <row r="204" spans="81:97" x14ac:dyDescent="0.3">
      <c r="CC204" s="28"/>
      <c r="CD204" s="28"/>
      <c r="CE204" s="28"/>
      <c r="CF204" s="28"/>
      <c r="CG204" s="28"/>
      <c r="CH204" s="28"/>
      <c r="CI204" s="28"/>
      <c r="CJ204" s="28"/>
      <c r="CK204" s="28"/>
      <c r="CL204" s="28"/>
      <c r="CM204" s="28"/>
      <c r="CN204" s="28"/>
      <c r="CO204" s="28"/>
      <c r="CP204" s="28"/>
      <c r="CQ204" s="28"/>
      <c r="CR204" s="28"/>
      <c r="CS204" s="28"/>
    </row>
    <row r="205" spans="81:97" x14ac:dyDescent="0.3">
      <c r="CC205" s="28"/>
      <c r="CD205" s="28"/>
      <c r="CE205" s="28"/>
      <c r="CF205" s="28"/>
      <c r="CG205" s="28"/>
      <c r="CH205" s="28"/>
      <c r="CI205" s="28"/>
      <c r="CJ205" s="28"/>
      <c r="CK205" s="28"/>
      <c r="CL205" s="28"/>
      <c r="CM205" s="28"/>
      <c r="CN205" s="28"/>
      <c r="CO205" s="28"/>
      <c r="CP205" s="28"/>
      <c r="CQ205" s="28"/>
      <c r="CR205" s="28"/>
      <c r="CS205" s="28"/>
    </row>
    <row r="206" spans="81:97" x14ac:dyDescent="0.3">
      <c r="CC206" s="28"/>
      <c r="CD206" s="28"/>
      <c r="CE206" s="28"/>
      <c r="CF206" s="28"/>
      <c r="CG206" s="28"/>
      <c r="CH206" s="28"/>
      <c r="CI206" s="28"/>
      <c r="CJ206" s="28"/>
      <c r="CK206" s="28"/>
      <c r="CL206" s="28"/>
      <c r="CM206" s="28"/>
      <c r="CN206" s="28"/>
      <c r="CO206" s="28"/>
      <c r="CP206" s="28"/>
      <c r="CQ206" s="28"/>
      <c r="CR206" s="28"/>
      <c r="CS206" s="28"/>
    </row>
    <row r="207" spans="81:97" x14ac:dyDescent="0.3">
      <c r="CC207" s="28"/>
      <c r="CD207" s="28"/>
      <c r="CE207" s="28"/>
      <c r="CF207" s="28"/>
      <c r="CG207" s="28"/>
      <c r="CH207" s="28"/>
      <c r="CI207" s="28"/>
      <c r="CJ207" s="28"/>
      <c r="CK207" s="28"/>
      <c r="CL207" s="28"/>
      <c r="CM207" s="28"/>
      <c r="CN207" s="28"/>
      <c r="CO207" s="28"/>
      <c r="CP207" s="28"/>
      <c r="CQ207" s="28"/>
      <c r="CR207" s="28"/>
      <c r="CS207" s="28"/>
    </row>
    <row r="208" spans="81:97" x14ac:dyDescent="0.3">
      <c r="CC208" s="28"/>
      <c r="CD208" s="28"/>
      <c r="CE208" s="28"/>
      <c r="CF208" s="28"/>
      <c r="CG208" s="28"/>
      <c r="CH208" s="28"/>
      <c r="CI208" s="28"/>
      <c r="CJ208" s="28"/>
      <c r="CK208" s="28"/>
      <c r="CL208" s="28"/>
      <c r="CM208" s="28"/>
      <c r="CN208" s="28"/>
      <c r="CO208" s="28"/>
      <c r="CP208" s="28"/>
      <c r="CQ208" s="28"/>
      <c r="CR208" s="28"/>
      <c r="CS208" s="28"/>
    </row>
    <row r="209" spans="81:97" x14ac:dyDescent="0.3">
      <c r="CC209" s="28"/>
      <c r="CD209" s="28"/>
      <c r="CE209" s="28"/>
      <c r="CF209" s="28"/>
      <c r="CG209" s="28"/>
      <c r="CH209" s="28"/>
      <c r="CI209" s="28"/>
      <c r="CJ209" s="28"/>
      <c r="CK209" s="28"/>
      <c r="CL209" s="28"/>
      <c r="CM209" s="28"/>
      <c r="CN209" s="28"/>
      <c r="CO209" s="28"/>
      <c r="CP209" s="28"/>
      <c r="CQ209" s="28"/>
      <c r="CR209" s="28"/>
      <c r="CS209" s="28"/>
    </row>
    <row r="210" spans="81:97" x14ac:dyDescent="0.3">
      <c r="CC210" s="28"/>
      <c r="CD210" s="28"/>
      <c r="CE210" s="28"/>
      <c r="CF210" s="28"/>
      <c r="CG210" s="28"/>
      <c r="CH210" s="28"/>
      <c r="CI210" s="28"/>
      <c r="CJ210" s="28"/>
      <c r="CK210" s="28"/>
      <c r="CL210" s="28"/>
      <c r="CM210" s="28"/>
      <c r="CN210" s="28"/>
      <c r="CO210" s="28"/>
      <c r="CP210" s="28"/>
      <c r="CQ210" s="28"/>
      <c r="CR210" s="28"/>
      <c r="CS210" s="28"/>
    </row>
    <row r="211" spans="81:97" x14ac:dyDescent="0.3">
      <c r="CC211" s="28"/>
      <c r="CD211" s="28"/>
      <c r="CE211" s="28"/>
      <c r="CF211" s="28"/>
      <c r="CG211" s="28"/>
      <c r="CH211" s="28"/>
      <c r="CI211" s="28"/>
      <c r="CJ211" s="28"/>
      <c r="CK211" s="28"/>
      <c r="CL211" s="28"/>
      <c r="CM211" s="28"/>
      <c r="CN211" s="28"/>
      <c r="CO211" s="28"/>
      <c r="CP211" s="28"/>
      <c r="CQ211" s="28"/>
      <c r="CR211" s="28"/>
      <c r="CS211" s="28"/>
    </row>
    <row r="212" spans="81:97" x14ac:dyDescent="0.3">
      <c r="CC212" s="28"/>
      <c r="CD212" s="28"/>
      <c r="CE212" s="28"/>
      <c r="CF212" s="28"/>
      <c r="CG212" s="28"/>
      <c r="CH212" s="28"/>
      <c r="CI212" s="28"/>
      <c r="CJ212" s="28"/>
      <c r="CK212" s="28"/>
      <c r="CL212" s="28"/>
      <c r="CM212" s="28"/>
      <c r="CN212" s="28"/>
      <c r="CO212" s="28"/>
      <c r="CP212" s="28"/>
      <c r="CQ212" s="28"/>
      <c r="CR212" s="28"/>
      <c r="CS212" s="28"/>
    </row>
    <row r="213" spans="81:97" x14ac:dyDescent="0.3">
      <c r="CC213" s="28"/>
      <c r="CD213" s="28"/>
      <c r="CE213" s="28"/>
      <c r="CF213" s="28"/>
      <c r="CG213" s="28"/>
      <c r="CH213" s="28"/>
      <c r="CI213" s="28"/>
      <c r="CJ213" s="28"/>
      <c r="CK213" s="28"/>
      <c r="CL213" s="28"/>
      <c r="CM213" s="28"/>
      <c r="CN213" s="28"/>
      <c r="CO213" s="28"/>
      <c r="CP213" s="28"/>
      <c r="CQ213" s="28"/>
      <c r="CR213" s="28"/>
      <c r="CS213" s="28"/>
    </row>
    <row r="214" spans="81:97" x14ac:dyDescent="0.3">
      <c r="CC214" s="28"/>
      <c r="CD214" s="28"/>
      <c r="CE214" s="28"/>
      <c r="CF214" s="28"/>
      <c r="CG214" s="28"/>
      <c r="CH214" s="28"/>
      <c r="CI214" s="28"/>
      <c r="CJ214" s="28"/>
      <c r="CK214" s="28"/>
      <c r="CL214" s="28"/>
      <c r="CM214" s="28"/>
      <c r="CN214" s="28"/>
      <c r="CO214" s="28"/>
      <c r="CP214" s="28"/>
      <c r="CQ214" s="28"/>
      <c r="CR214" s="28"/>
      <c r="CS214" s="28"/>
    </row>
    <row r="215" spans="81:97" x14ac:dyDescent="0.3">
      <c r="CC215" s="28"/>
      <c r="CD215" s="28"/>
      <c r="CE215" s="28"/>
      <c r="CF215" s="28"/>
      <c r="CG215" s="28"/>
      <c r="CH215" s="28"/>
      <c r="CI215" s="28"/>
      <c r="CJ215" s="28"/>
      <c r="CK215" s="28"/>
      <c r="CL215" s="28"/>
      <c r="CM215" s="28"/>
      <c r="CN215" s="28"/>
      <c r="CO215" s="28"/>
      <c r="CP215" s="28"/>
      <c r="CQ215" s="28"/>
      <c r="CR215" s="28"/>
      <c r="CS215" s="28"/>
    </row>
    <row r="216" spans="81:97" x14ac:dyDescent="0.3">
      <c r="CC216" s="28"/>
      <c r="CD216" s="28"/>
      <c r="CE216" s="28"/>
      <c r="CF216" s="28"/>
      <c r="CG216" s="28"/>
      <c r="CH216" s="28"/>
      <c r="CI216" s="28"/>
      <c r="CJ216" s="28"/>
      <c r="CK216" s="28"/>
      <c r="CL216" s="28"/>
      <c r="CM216" s="28"/>
      <c r="CN216" s="28"/>
      <c r="CO216" s="28"/>
      <c r="CP216" s="28"/>
      <c r="CQ216" s="28"/>
      <c r="CR216" s="28"/>
      <c r="CS216" s="28"/>
    </row>
    <row r="217" spans="81:97" x14ac:dyDescent="0.3">
      <c r="CC217" s="28"/>
      <c r="CD217" s="28"/>
      <c r="CE217" s="28"/>
      <c r="CF217" s="28"/>
      <c r="CG217" s="28"/>
      <c r="CH217" s="28"/>
      <c r="CI217" s="28"/>
      <c r="CJ217" s="28"/>
      <c r="CK217" s="28"/>
      <c r="CL217" s="28"/>
      <c r="CM217" s="28"/>
      <c r="CN217" s="28"/>
      <c r="CO217" s="28"/>
      <c r="CP217" s="28"/>
      <c r="CQ217" s="28"/>
      <c r="CR217" s="28"/>
      <c r="CS217" s="28"/>
    </row>
    <row r="218" spans="81:97" x14ac:dyDescent="0.3">
      <c r="CC218" s="28"/>
      <c r="CD218" s="28"/>
      <c r="CE218" s="28"/>
      <c r="CF218" s="28"/>
      <c r="CG218" s="28"/>
      <c r="CH218" s="28"/>
      <c r="CI218" s="28"/>
      <c r="CJ218" s="28"/>
      <c r="CK218" s="28"/>
      <c r="CL218" s="28"/>
      <c r="CM218" s="28"/>
      <c r="CN218" s="28"/>
      <c r="CO218" s="28"/>
      <c r="CP218" s="28"/>
      <c r="CQ218" s="28"/>
      <c r="CR218" s="28"/>
      <c r="CS218" s="28"/>
    </row>
    <row r="219" spans="81:97" x14ac:dyDescent="0.3">
      <c r="CC219" s="28"/>
      <c r="CD219" s="28"/>
      <c r="CE219" s="28"/>
      <c r="CF219" s="28"/>
      <c r="CG219" s="28"/>
      <c r="CH219" s="28"/>
      <c r="CI219" s="28"/>
      <c r="CJ219" s="28"/>
      <c r="CK219" s="28"/>
      <c r="CL219" s="28"/>
      <c r="CM219" s="28"/>
      <c r="CN219" s="28"/>
      <c r="CO219" s="28"/>
      <c r="CP219" s="28"/>
      <c r="CQ219" s="28"/>
      <c r="CR219" s="28"/>
      <c r="CS219" s="28"/>
    </row>
    <row r="220" spans="81:97" x14ac:dyDescent="0.3">
      <c r="CC220" s="28"/>
      <c r="CD220" s="28"/>
      <c r="CE220" s="28"/>
      <c r="CF220" s="28"/>
      <c r="CG220" s="28"/>
      <c r="CH220" s="28"/>
      <c r="CI220" s="28"/>
      <c r="CJ220" s="28"/>
      <c r="CK220" s="28"/>
      <c r="CL220" s="28"/>
      <c r="CM220" s="28"/>
      <c r="CN220" s="28"/>
      <c r="CO220" s="28"/>
      <c r="CP220" s="28"/>
      <c r="CQ220" s="28"/>
      <c r="CR220" s="28"/>
      <c r="CS220" s="28"/>
    </row>
    <row r="221" spans="81:97" x14ac:dyDescent="0.3">
      <c r="CC221" s="28"/>
      <c r="CD221" s="28"/>
      <c r="CE221" s="28"/>
      <c r="CF221" s="28"/>
      <c r="CG221" s="28"/>
      <c r="CH221" s="28"/>
      <c r="CI221" s="28"/>
      <c r="CJ221" s="28"/>
      <c r="CK221" s="28"/>
      <c r="CL221" s="28"/>
      <c r="CM221" s="28"/>
      <c r="CN221" s="28"/>
      <c r="CO221" s="28"/>
      <c r="CP221" s="28"/>
      <c r="CQ221" s="28"/>
      <c r="CR221" s="28"/>
      <c r="CS221" s="28"/>
    </row>
    <row r="222" spans="81:97" x14ac:dyDescent="0.3">
      <c r="CC222" s="28"/>
      <c r="CD222" s="28"/>
      <c r="CE222" s="28"/>
      <c r="CF222" s="28"/>
      <c r="CG222" s="28"/>
      <c r="CH222" s="28"/>
      <c r="CI222" s="28"/>
      <c r="CJ222" s="28"/>
      <c r="CK222" s="28"/>
      <c r="CL222" s="28"/>
      <c r="CM222" s="28"/>
      <c r="CN222" s="28"/>
      <c r="CO222" s="28"/>
      <c r="CP222" s="28"/>
      <c r="CQ222" s="28"/>
      <c r="CR222" s="28"/>
      <c r="CS222" s="28"/>
    </row>
    <row r="223" spans="81:97" x14ac:dyDescent="0.3">
      <c r="CC223" s="28"/>
      <c r="CD223" s="28"/>
      <c r="CE223" s="28"/>
      <c r="CF223" s="28"/>
      <c r="CG223" s="28"/>
      <c r="CH223" s="28"/>
      <c r="CI223" s="28"/>
      <c r="CJ223" s="28"/>
      <c r="CK223" s="28"/>
      <c r="CL223" s="28"/>
      <c r="CM223" s="28"/>
      <c r="CN223" s="28"/>
      <c r="CO223" s="28"/>
      <c r="CP223" s="28"/>
      <c r="CQ223" s="28"/>
      <c r="CR223" s="28"/>
      <c r="CS223" s="28"/>
    </row>
    <row r="224" spans="81:97" x14ac:dyDescent="0.3">
      <c r="CC224" s="28"/>
      <c r="CD224" s="28"/>
      <c r="CE224" s="28"/>
      <c r="CF224" s="28"/>
      <c r="CG224" s="28"/>
      <c r="CH224" s="28"/>
      <c r="CI224" s="28"/>
      <c r="CJ224" s="28"/>
      <c r="CK224" s="28"/>
      <c r="CL224" s="28"/>
      <c r="CM224" s="28"/>
      <c r="CN224" s="28"/>
      <c r="CO224" s="28"/>
      <c r="CP224" s="28"/>
      <c r="CQ224" s="28"/>
      <c r="CR224" s="28"/>
      <c r="CS224" s="28"/>
    </row>
    <row r="225" spans="81:97" x14ac:dyDescent="0.3">
      <c r="CC225" s="28"/>
      <c r="CD225" s="28"/>
      <c r="CE225" s="28"/>
      <c r="CF225" s="28"/>
      <c r="CG225" s="28"/>
      <c r="CH225" s="28"/>
      <c r="CI225" s="28"/>
      <c r="CJ225" s="28"/>
      <c r="CK225" s="28"/>
      <c r="CL225" s="28"/>
      <c r="CM225" s="28"/>
      <c r="CN225" s="28"/>
      <c r="CO225" s="28"/>
      <c r="CP225" s="28"/>
      <c r="CQ225" s="28"/>
      <c r="CR225" s="28"/>
      <c r="CS225" s="28"/>
    </row>
    <row r="226" spans="81:97" x14ac:dyDescent="0.3">
      <c r="CC226" s="28"/>
      <c r="CD226" s="28"/>
      <c r="CE226" s="28"/>
      <c r="CF226" s="28"/>
      <c r="CG226" s="28"/>
      <c r="CH226" s="28"/>
      <c r="CI226" s="28"/>
      <c r="CJ226" s="28"/>
      <c r="CK226" s="28"/>
      <c r="CL226" s="28"/>
      <c r="CM226" s="28"/>
      <c r="CN226" s="28"/>
      <c r="CO226" s="28"/>
      <c r="CP226" s="28"/>
      <c r="CQ226" s="28"/>
      <c r="CR226" s="28"/>
      <c r="CS226" s="28"/>
    </row>
    <row r="227" spans="81:97" x14ac:dyDescent="0.3">
      <c r="CC227" s="28"/>
      <c r="CD227" s="28"/>
      <c r="CE227" s="28"/>
      <c r="CF227" s="28"/>
      <c r="CG227" s="28"/>
      <c r="CH227" s="28"/>
      <c r="CI227" s="28"/>
      <c r="CJ227" s="28"/>
      <c r="CK227" s="28"/>
      <c r="CL227" s="28"/>
      <c r="CM227" s="28"/>
      <c r="CN227" s="28"/>
      <c r="CO227" s="28"/>
      <c r="CP227" s="28"/>
      <c r="CQ227" s="28"/>
      <c r="CR227" s="28"/>
      <c r="CS227" s="28"/>
    </row>
    <row r="228" spans="81:97" x14ac:dyDescent="0.3">
      <c r="CC228" s="28"/>
      <c r="CD228" s="28"/>
      <c r="CE228" s="28"/>
      <c r="CF228" s="28"/>
      <c r="CG228" s="28"/>
      <c r="CH228" s="28"/>
      <c r="CI228" s="28"/>
      <c r="CJ228" s="28"/>
      <c r="CK228" s="28"/>
      <c r="CL228" s="28"/>
      <c r="CM228" s="28"/>
      <c r="CN228" s="28"/>
      <c r="CO228" s="28"/>
      <c r="CP228" s="28"/>
      <c r="CQ228" s="28"/>
      <c r="CR228" s="28"/>
      <c r="CS228" s="28"/>
    </row>
    <row r="229" spans="81:97" x14ac:dyDescent="0.3">
      <c r="CC229" s="28"/>
      <c r="CD229" s="28"/>
      <c r="CE229" s="28"/>
      <c r="CF229" s="28"/>
      <c r="CG229" s="28"/>
      <c r="CH229" s="28"/>
      <c r="CI229" s="28"/>
      <c r="CJ229" s="28"/>
      <c r="CK229" s="28"/>
      <c r="CL229" s="28"/>
      <c r="CM229" s="28"/>
      <c r="CN229" s="28"/>
      <c r="CO229" s="28"/>
      <c r="CP229" s="28"/>
      <c r="CQ229" s="28"/>
      <c r="CR229" s="28"/>
      <c r="CS229" s="28"/>
    </row>
    <row r="230" spans="81:97" x14ac:dyDescent="0.3">
      <c r="CC230" s="28"/>
      <c r="CD230" s="28"/>
      <c r="CE230" s="28"/>
      <c r="CF230" s="28"/>
      <c r="CG230" s="28"/>
      <c r="CH230" s="28"/>
      <c r="CI230" s="28"/>
      <c r="CJ230" s="28"/>
      <c r="CK230" s="28"/>
      <c r="CL230" s="28"/>
      <c r="CM230" s="28"/>
      <c r="CN230" s="28"/>
      <c r="CO230" s="28"/>
      <c r="CP230" s="28"/>
      <c r="CQ230" s="28"/>
      <c r="CR230" s="28"/>
      <c r="CS230" s="28"/>
    </row>
    <row r="231" spans="81:97" x14ac:dyDescent="0.3">
      <c r="CC231" s="28"/>
      <c r="CD231" s="28"/>
      <c r="CE231" s="28"/>
      <c r="CF231" s="28"/>
      <c r="CG231" s="28"/>
      <c r="CH231" s="28"/>
      <c r="CI231" s="28"/>
      <c r="CJ231" s="28"/>
      <c r="CK231" s="28"/>
      <c r="CL231" s="28"/>
      <c r="CM231" s="28"/>
      <c r="CN231" s="28"/>
      <c r="CO231" s="28"/>
      <c r="CP231" s="28"/>
      <c r="CQ231" s="28"/>
      <c r="CR231" s="28"/>
      <c r="CS231" s="28"/>
    </row>
    <row r="232" spans="81:97" x14ac:dyDescent="0.3">
      <c r="CC232" s="28"/>
      <c r="CD232" s="28"/>
      <c r="CE232" s="28"/>
      <c r="CF232" s="28"/>
      <c r="CG232" s="28"/>
      <c r="CH232" s="28"/>
      <c r="CI232" s="28"/>
      <c r="CJ232" s="28"/>
      <c r="CK232" s="28"/>
      <c r="CL232" s="28"/>
      <c r="CM232" s="28"/>
      <c r="CN232" s="28"/>
      <c r="CO232" s="28"/>
      <c r="CP232" s="28"/>
      <c r="CQ232" s="28"/>
      <c r="CR232" s="28"/>
      <c r="CS232" s="28"/>
    </row>
    <row r="233" spans="81:97" x14ac:dyDescent="0.3">
      <c r="CC233" s="28"/>
      <c r="CD233" s="28"/>
      <c r="CE233" s="28"/>
      <c r="CF233" s="28"/>
      <c r="CG233" s="28"/>
      <c r="CH233" s="28"/>
      <c r="CI233" s="28"/>
      <c r="CJ233" s="28"/>
      <c r="CK233" s="28"/>
      <c r="CL233" s="28"/>
      <c r="CM233" s="28"/>
      <c r="CN233" s="28"/>
      <c r="CO233" s="28"/>
      <c r="CP233" s="28"/>
      <c r="CQ233" s="28"/>
      <c r="CR233" s="28"/>
      <c r="CS233" s="28"/>
    </row>
    <row r="234" spans="81:97" x14ac:dyDescent="0.3">
      <c r="CC234" s="28"/>
      <c r="CD234" s="28"/>
      <c r="CE234" s="28"/>
      <c r="CF234" s="28"/>
      <c r="CG234" s="28"/>
      <c r="CH234" s="28"/>
      <c r="CI234" s="28"/>
      <c r="CJ234" s="28"/>
      <c r="CK234" s="28"/>
      <c r="CL234" s="28"/>
      <c r="CM234" s="28"/>
      <c r="CN234" s="28"/>
      <c r="CO234" s="28"/>
      <c r="CP234" s="28"/>
      <c r="CQ234" s="28"/>
      <c r="CR234" s="28"/>
      <c r="CS234" s="28"/>
    </row>
    <row r="235" spans="81:97" x14ac:dyDescent="0.3">
      <c r="CC235" s="28"/>
      <c r="CD235" s="28"/>
      <c r="CE235" s="28"/>
      <c r="CF235" s="28"/>
      <c r="CG235" s="28"/>
      <c r="CH235" s="28"/>
      <c r="CI235" s="28"/>
      <c r="CJ235" s="28"/>
      <c r="CK235" s="28"/>
      <c r="CL235" s="28"/>
      <c r="CM235" s="28"/>
      <c r="CN235" s="28"/>
      <c r="CO235" s="28"/>
      <c r="CP235" s="28"/>
      <c r="CQ235" s="28"/>
      <c r="CR235" s="28"/>
      <c r="CS235" s="28"/>
    </row>
    <row r="236" spans="81:97" x14ac:dyDescent="0.3">
      <c r="CC236" s="28"/>
      <c r="CD236" s="28"/>
      <c r="CE236" s="28"/>
      <c r="CF236" s="28"/>
      <c r="CG236" s="28"/>
      <c r="CH236" s="28"/>
      <c r="CI236" s="28"/>
      <c r="CJ236" s="28"/>
      <c r="CK236" s="28"/>
      <c r="CL236" s="28"/>
      <c r="CM236" s="28"/>
      <c r="CN236" s="28"/>
      <c r="CO236" s="28"/>
      <c r="CP236" s="28"/>
      <c r="CQ236" s="28"/>
      <c r="CR236" s="28"/>
      <c r="CS236" s="28"/>
    </row>
    <row r="237" spans="81:97" x14ac:dyDescent="0.3">
      <c r="CC237" s="28"/>
      <c r="CD237" s="28"/>
      <c r="CE237" s="28"/>
      <c r="CF237" s="28"/>
      <c r="CG237" s="28"/>
      <c r="CH237" s="28"/>
      <c r="CI237" s="28"/>
      <c r="CJ237" s="28"/>
      <c r="CK237" s="28"/>
      <c r="CL237" s="28"/>
      <c r="CM237" s="28"/>
      <c r="CN237" s="28"/>
      <c r="CO237" s="28"/>
      <c r="CP237" s="28"/>
      <c r="CQ237" s="28"/>
      <c r="CR237" s="28"/>
      <c r="CS237" s="28"/>
    </row>
    <row r="238" spans="81:97" x14ac:dyDescent="0.3">
      <c r="CC238" s="28"/>
      <c r="CD238" s="28"/>
      <c r="CE238" s="28"/>
      <c r="CF238" s="28"/>
      <c r="CG238" s="28"/>
      <c r="CH238" s="28"/>
      <c r="CI238" s="28"/>
      <c r="CJ238" s="28"/>
      <c r="CK238" s="28"/>
      <c r="CL238" s="28"/>
      <c r="CM238" s="28"/>
      <c r="CN238" s="28"/>
      <c r="CO238" s="28"/>
      <c r="CP238" s="28"/>
      <c r="CQ238" s="28"/>
      <c r="CR238" s="28"/>
      <c r="CS238" s="28"/>
    </row>
    <row r="239" spans="81:97" x14ac:dyDescent="0.3">
      <c r="CC239" s="28"/>
      <c r="CD239" s="28"/>
      <c r="CE239" s="28"/>
      <c r="CF239" s="28"/>
      <c r="CG239" s="28"/>
      <c r="CH239" s="28"/>
      <c r="CI239" s="28"/>
      <c r="CJ239" s="28"/>
      <c r="CK239" s="28"/>
      <c r="CL239" s="28"/>
      <c r="CM239" s="28"/>
      <c r="CN239" s="28"/>
      <c r="CO239" s="28"/>
      <c r="CP239" s="28"/>
      <c r="CQ239" s="28"/>
      <c r="CR239" s="28"/>
      <c r="CS239" s="28"/>
    </row>
    <row r="240" spans="81:97" x14ac:dyDescent="0.3">
      <c r="CC240" s="28"/>
      <c r="CD240" s="28"/>
      <c r="CE240" s="28"/>
      <c r="CF240" s="28"/>
      <c r="CG240" s="28"/>
      <c r="CH240" s="28"/>
      <c r="CI240" s="28"/>
      <c r="CJ240" s="28"/>
      <c r="CK240" s="28"/>
      <c r="CL240" s="28"/>
      <c r="CM240" s="28"/>
      <c r="CN240" s="28"/>
      <c r="CO240" s="28"/>
      <c r="CP240" s="28"/>
      <c r="CQ240" s="28"/>
      <c r="CR240" s="28"/>
      <c r="CS240" s="28"/>
    </row>
    <row r="241" spans="81:97" x14ac:dyDescent="0.3">
      <c r="CC241" s="28"/>
      <c r="CD241" s="28"/>
      <c r="CE241" s="28"/>
      <c r="CF241" s="28"/>
      <c r="CG241" s="28"/>
      <c r="CH241" s="28"/>
      <c r="CI241" s="28"/>
      <c r="CJ241" s="28"/>
      <c r="CK241" s="28"/>
      <c r="CL241" s="28"/>
      <c r="CM241" s="28"/>
      <c r="CN241" s="28"/>
      <c r="CO241" s="28"/>
      <c r="CP241" s="28"/>
      <c r="CQ241" s="28"/>
      <c r="CR241" s="28"/>
      <c r="CS241" s="28"/>
    </row>
    <row r="242" spans="81:97" x14ac:dyDescent="0.3">
      <c r="CC242" s="28"/>
      <c r="CD242" s="28"/>
      <c r="CE242" s="28"/>
      <c r="CF242" s="28"/>
      <c r="CG242" s="28"/>
      <c r="CH242" s="28"/>
      <c r="CI242" s="28"/>
      <c r="CJ242" s="28"/>
      <c r="CK242" s="28"/>
      <c r="CL242" s="28"/>
      <c r="CM242" s="28"/>
      <c r="CN242" s="28"/>
      <c r="CO242" s="28"/>
      <c r="CP242" s="28"/>
      <c r="CQ242" s="28"/>
      <c r="CR242" s="28"/>
      <c r="CS242" s="28"/>
    </row>
    <row r="243" spans="81:97" x14ac:dyDescent="0.3">
      <c r="CC243" s="28"/>
      <c r="CD243" s="28"/>
      <c r="CE243" s="28"/>
      <c r="CF243" s="28"/>
      <c r="CG243" s="28"/>
      <c r="CH243" s="28"/>
      <c r="CI243" s="28"/>
      <c r="CJ243" s="28"/>
      <c r="CK243" s="28"/>
      <c r="CL243" s="28"/>
      <c r="CM243" s="28"/>
      <c r="CN243" s="28"/>
      <c r="CO243" s="28"/>
      <c r="CP243" s="28"/>
      <c r="CQ243" s="28"/>
      <c r="CR243" s="28"/>
      <c r="CS243" s="28"/>
    </row>
    <row r="244" spans="81:97" x14ac:dyDescent="0.3">
      <c r="CC244" s="28"/>
      <c r="CD244" s="28"/>
      <c r="CE244" s="28"/>
      <c r="CF244" s="28"/>
      <c r="CG244" s="28"/>
      <c r="CH244" s="28"/>
      <c r="CI244" s="28"/>
      <c r="CJ244" s="28"/>
      <c r="CK244" s="28"/>
      <c r="CL244" s="28"/>
      <c r="CM244" s="28"/>
      <c r="CN244" s="28"/>
      <c r="CO244" s="28"/>
      <c r="CP244" s="28"/>
      <c r="CQ244" s="28"/>
      <c r="CR244" s="28"/>
      <c r="CS244" s="28"/>
    </row>
    <row r="245" spans="81:97" x14ac:dyDescent="0.3">
      <c r="CC245" s="28"/>
      <c r="CD245" s="28"/>
      <c r="CE245" s="28"/>
      <c r="CF245" s="28"/>
      <c r="CG245" s="28"/>
      <c r="CH245" s="28"/>
      <c r="CI245" s="28"/>
      <c r="CJ245" s="28"/>
      <c r="CK245" s="28"/>
      <c r="CL245" s="28"/>
      <c r="CM245" s="28"/>
      <c r="CN245" s="28"/>
      <c r="CO245" s="28"/>
      <c r="CP245" s="28"/>
      <c r="CQ245" s="28"/>
      <c r="CR245" s="28"/>
      <c r="CS245" s="28"/>
    </row>
    <row r="246" spans="81:97" x14ac:dyDescent="0.3">
      <c r="CC246" s="28"/>
      <c r="CD246" s="28"/>
      <c r="CE246" s="28"/>
      <c r="CF246" s="28"/>
      <c r="CG246" s="28"/>
      <c r="CH246" s="28"/>
      <c r="CI246" s="28"/>
      <c r="CJ246" s="28"/>
      <c r="CK246" s="28"/>
      <c r="CL246" s="28"/>
      <c r="CM246" s="28"/>
      <c r="CN246" s="28"/>
      <c r="CO246" s="28"/>
      <c r="CP246" s="28"/>
      <c r="CQ246" s="28"/>
      <c r="CR246" s="28"/>
      <c r="CS246" s="28"/>
    </row>
    <row r="247" spans="81:97" x14ac:dyDescent="0.3">
      <c r="CC247" s="28"/>
      <c r="CD247" s="28"/>
      <c r="CE247" s="28"/>
      <c r="CF247" s="28"/>
      <c r="CG247" s="28"/>
      <c r="CH247" s="28"/>
      <c r="CI247" s="28"/>
      <c r="CJ247" s="28"/>
      <c r="CK247" s="28"/>
      <c r="CL247" s="28"/>
      <c r="CM247" s="28"/>
      <c r="CN247" s="28"/>
      <c r="CO247" s="28"/>
      <c r="CP247" s="28"/>
      <c r="CQ247" s="28"/>
      <c r="CR247" s="28"/>
      <c r="CS247" s="28"/>
    </row>
    <row r="248" spans="81:97" x14ac:dyDescent="0.3">
      <c r="CC248" s="28"/>
      <c r="CD248" s="28"/>
      <c r="CE248" s="28"/>
      <c r="CF248" s="28"/>
      <c r="CG248" s="28"/>
      <c r="CH248" s="28"/>
      <c r="CI248" s="28"/>
      <c r="CJ248" s="28"/>
      <c r="CK248" s="28"/>
      <c r="CL248" s="28"/>
      <c r="CM248" s="28"/>
      <c r="CN248" s="28"/>
      <c r="CO248" s="28"/>
      <c r="CP248" s="28"/>
      <c r="CQ248" s="28"/>
      <c r="CR248" s="28"/>
      <c r="CS248" s="28"/>
    </row>
    <row r="249" spans="81:97" x14ac:dyDescent="0.3">
      <c r="CC249" s="28"/>
      <c r="CD249" s="28"/>
      <c r="CE249" s="28"/>
      <c r="CF249" s="28"/>
      <c r="CG249" s="28"/>
      <c r="CH249" s="28"/>
      <c r="CI249" s="28"/>
      <c r="CJ249" s="28"/>
      <c r="CK249" s="28"/>
      <c r="CL249" s="28"/>
      <c r="CM249" s="28"/>
      <c r="CN249" s="28"/>
      <c r="CO249" s="28"/>
      <c r="CP249" s="28"/>
      <c r="CQ249" s="28"/>
      <c r="CR249" s="28"/>
      <c r="CS249" s="28"/>
    </row>
    <row r="250" spans="81:97" x14ac:dyDescent="0.3">
      <c r="CC250" s="28"/>
      <c r="CD250" s="28"/>
      <c r="CE250" s="28"/>
      <c r="CF250" s="28"/>
      <c r="CG250" s="28"/>
      <c r="CH250" s="28"/>
      <c r="CI250" s="28"/>
      <c r="CJ250" s="28"/>
      <c r="CK250" s="28"/>
      <c r="CL250" s="28"/>
      <c r="CM250" s="28"/>
      <c r="CN250" s="28"/>
      <c r="CO250" s="28"/>
      <c r="CP250" s="28"/>
      <c r="CQ250" s="28"/>
      <c r="CR250" s="28"/>
      <c r="CS250" s="28"/>
    </row>
    <row r="251" spans="81:97" x14ac:dyDescent="0.3">
      <c r="CC251" s="28"/>
      <c r="CD251" s="28"/>
      <c r="CE251" s="28"/>
      <c r="CF251" s="28"/>
      <c r="CG251" s="28"/>
      <c r="CH251" s="28"/>
      <c r="CI251" s="28"/>
      <c r="CJ251" s="28"/>
      <c r="CK251" s="28"/>
      <c r="CL251" s="28"/>
      <c r="CM251" s="28"/>
      <c r="CN251" s="28"/>
      <c r="CO251" s="28"/>
      <c r="CP251" s="28"/>
      <c r="CQ251" s="28"/>
      <c r="CR251" s="28"/>
      <c r="CS251" s="28"/>
    </row>
    <row r="252" spans="81:97" x14ac:dyDescent="0.3">
      <c r="CC252" s="28"/>
      <c r="CD252" s="28"/>
      <c r="CE252" s="28"/>
      <c r="CF252" s="28"/>
      <c r="CG252" s="28"/>
      <c r="CH252" s="28"/>
      <c r="CI252" s="28"/>
      <c r="CJ252" s="28"/>
      <c r="CK252" s="28"/>
      <c r="CL252" s="28"/>
      <c r="CM252" s="28"/>
      <c r="CN252" s="28"/>
      <c r="CO252" s="28"/>
      <c r="CP252" s="28"/>
      <c r="CQ252" s="28"/>
      <c r="CR252" s="28"/>
      <c r="CS252" s="28"/>
    </row>
    <row r="253" spans="81:97" x14ac:dyDescent="0.3">
      <c r="CC253" s="28"/>
      <c r="CD253" s="28"/>
      <c r="CE253" s="28"/>
      <c r="CF253" s="28"/>
      <c r="CG253" s="28"/>
      <c r="CH253" s="28"/>
      <c r="CI253" s="28"/>
      <c r="CJ253" s="28"/>
      <c r="CK253" s="28"/>
      <c r="CL253" s="28"/>
      <c r="CM253" s="28"/>
      <c r="CN253" s="28"/>
      <c r="CO253" s="28"/>
      <c r="CP253" s="28"/>
      <c r="CQ253" s="28"/>
      <c r="CR253" s="28"/>
      <c r="CS253" s="28"/>
    </row>
    <row r="254" spans="81:97" x14ac:dyDescent="0.3">
      <c r="CC254" s="28"/>
      <c r="CD254" s="28"/>
      <c r="CE254" s="28"/>
      <c r="CF254" s="28"/>
      <c r="CG254" s="28"/>
      <c r="CH254" s="28"/>
      <c r="CI254" s="28"/>
      <c r="CJ254" s="28"/>
      <c r="CK254" s="28"/>
      <c r="CL254" s="28"/>
      <c r="CM254" s="28"/>
      <c r="CN254" s="28"/>
      <c r="CO254" s="28"/>
      <c r="CP254" s="28"/>
      <c r="CQ254" s="28"/>
      <c r="CR254" s="28"/>
      <c r="CS254" s="28"/>
    </row>
    <row r="255" spans="81:97" x14ac:dyDescent="0.3">
      <c r="CC255" s="28"/>
      <c r="CD255" s="28"/>
      <c r="CE255" s="28"/>
      <c r="CF255" s="28"/>
      <c r="CG255" s="28"/>
      <c r="CH255" s="28"/>
      <c r="CI255" s="28"/>
      <c r="CJ255" s="28"/>
      <c r="CK255" s="28"/>
      <c r="CL255" s="28"/>
      <c r="CM255" s="28"/>
      <c r="CN255" s="28"/>
      <c r="CO255" s="28"/>
      <c r="CP255" s="28"/>
      <c r="CQ255" s="28"/>
      <c r="CR255" s="28"/>
      <c r="CS255" s="28"/>
    </row>
    <row r="256" spans="81:97" x14ac:dyDescent="0.3">
      <c r="CC256" s="28"/>
      <c r="CD256" s="28"/>
      <c r="CE256" s="28"/>
      <c r="CF256" s="28"/>
      <c r="CG256" s="28"/>
      <c r="CH256" s="28"/>
      <c r="CI256" s="28"/>
      <c r="CJ256" s="28"/>
      <c r="CK256" s="28"/>
      <c r="CL256" s="28"/>
      <c r="CM256" s="28"/>
      <c r="CN256" s="28"/>
      <c r="CO256" s="28"/>
      <c r="CP256" s="28"/>
      <c r="CQ256" s="28"/>
      <c r="CR256" s="28"/>
      <c r="CS256" s="28"/>
    </row>
    <row r="257" spans="81:97" x14ac:dyDescent="0.3">
      <c r="CC257" s="28"/>
      <c r="CD257" s="28"/>
      <c r="CE257" s="28"/>
      <c r="CF257" s="28"/>
      <c r="CG257" s="28"/>
      <c r="CH257" s="28"/>
      <c r="CI257" s="28"/>
      <c r="CJ257" s="28"/>
      <c r="CK257" s="28"/>
      <c r="CL257" s="28"/>
      <c r="CM257" s="28"/>
      <c r="CN257" s="28"/>
      <c r="CO257" s="28"/>
      <c r="CP257" s="28"/>
      <c r="CQ257" s="28"/>
      <c r="CR257" s="28"/>
      <c r="CS257" s="28"/>
    </row>
    <row r="258" spans="81:97" x14ac:dyDescent="0.3">
      <c r="CC258" s="28"/>
      <c r="CD258" s="28"/>
      <c r="CE258" s="28"/>
      <c r="CF258" s="28"/>
      <c r="CG258" s="28"/>
      <c r="CH258" s="28"/>
      <c r="CI258" s="28"/>
      <c r="CJ258" s="28"/>
      <c r="CK258" s="28"/>
      <c r="CL258" s="28"/>
      <c r="CM258" s="28"/>
      <c r="CN258" s="28"/>
      <c r="CO258" s="28"/>
      <c r="CP258" s="28"/>
      <c r="CQ258" s="28"/>
      <c r="CR258" s="28"/>
      <c r="CS258" s="28"/>
    </row>
    <row r="259" spans="81:97" x14ac:dyDescent="0.3">
      <c r="CC259" s="28"/>
      <c r="CD259" s="28"/>
      <c r="CE259" s="28"/>
      <c r="CF259" s="28"/>
      <c r="CG259" s="28"/>
      <c r="CH259" s="28"/>
      <c r="CI259" s="28"/>
      <c r="CJ259" s="28"/>
      <c r="CK259" s="28"/>
      <c r="CL259" s="28"/>
      <c r="CM259" s="28"/>
      <c r="CN259" s="28"/>
      <c r="CO259" s="28"/>
      <c r="CP259" s="28"/>
      <c r="CQ259" s="28"/>
      <c r="CR259" s="28"/>
      <c r="CS259" s="28"/>
    </row>
    <row r="260" spans="81:97" x14ac:dyDescent="0.3">
      <c r="CC260" s="28"/>
      <c r="CD260" s="28"/>
      <c r="CE260" s="28"/>
      <c r="CF260" s="28"/>
      <c r="CG260" s="28"/>
      <c r="CH260" s="28"/>
      <c r="CI260" s="28"/>
      <c r="CJ260" s="28"/>
      <c r="CK260" s="28"/>
      <c r="CL260" s="28"/>
      <c r="CM260" s="28"/>
      <c r="CN260" s="28"/>
      <c r="CO260" s="28"/>
      <c r="CP260" s="28"/>
      <c r="CQ260" s="28"/>
      <c r="CR260" s="28"/>
      <c r="CS260" s="28"/>
    </row>
    <row r="261" spans="81:97" x14ac:dyDescent="0.3">
      <c r="CC261" s="28"/>
      <c r="CD261" s="28"/>
      <c r="CE261" s="28"/>
      <c r="CF261" s="28"/>
      <c r="CG261" s="28"/>
      <c r="CH261" s="28"/>
      <c r="CI261" s="28"/>
      <c r="CJ261" s="28"/>
      <c r="CK261" s="28"/>
      <c r="CL261" s="28"/>
      <c r="CM261" s="28"/>
      <c r="CN261" s="28"/>
      <c r="CO261" s="28"/>
      <c r="CP261" s="28"/>
      <c r="CQ261" s="28"/>
      <c r="CR261" s="28"/>
      <c r="CS261" s="28"/>
    </row>
    <row r="262" spans="81:97" x14ac:dyDescent="0.3">
      <c r="CC262" s="28"/>
      <c r="CD262" s="28"/>
      <c r="CE262" s="28"/>
      <c r="CF262" s="28"/>
      <c r="CG262" s="28"/>
      <c r="CH262" s="28"/>
      <c r="CI262" s="28"/>
      <c r="CJ262" s="28"/>
      <c r="CK262" s="28"/>
      <c r="CL262" s="28"/>
      <c r="CM262" s="28"/>
      <c r="CN262" s="28"/>
      <c r="CO262" s="28"/>
      <c r="CP262" s="28"/>
      <c r="CQ262" s="28"/>
      <c r="CR262" s="28"/>
      <c r="CS262" s="28"/>
    </row>
    <row r="263" spans="81:97" x14ac:dyDescent="0.3">
      <c r="CC263" s="28"/>
      <c r="CD263" s="28"/>
      <c r="CE263" s="28"/>
      <c r="CF263" s="28"/>
      <c r="CG263" s="28"/>
      <c r="CH263" s="28"/>
      <c r="CI263" s="28"/>
      <c r="CJ263" s="28"/>
      <c r="CK263" s="28"/>
      <c r="CL263" s="28"/>
      <c r="CM263" s="28"/>
      <c r="CN263" s="28"/>
      <c r="CO263" s="28"/>
      <c r="CP263" s="28"/>
      <c r="CQ263" s="28"/>
      <c r="CR263" s="28"/>
      <c r="CS263" s="28"/>
    </row>
    <row r="264" spans="81:97" x14ac:dyDescent="0.3">
      <c r="CC264" s="28"/>
      <c r="CD264" s="28"/>
      <c r="CE264" s="28"/>
      <c r="CF264" s="28"/>
      <c r="CG264" s="28"/>
      <c r="CH264" s="28"/>
      <c r="CI264" s="28"/>
      <c r="CJ264" s="28"/>
      <c r="CK264" s="28"/>
      <c r="CL264" s="28"/>
      <c r="CM264" s="28"/>
      <c r="CN264" s="28"/>
      <c r="CO264" s="28"/>
      <c r="CP264" s="28"/>
      <c r="CQ264" s="28"/>
      <c r="CR264" s="28"/>
      <c r="CS264" s="28"/>
    </row>
    <row r="265" spans="81:97" x14ac:dyDescent="0.3">
      <c r="CC265" s="28"/>
      <c r="CD265" s="28"/>
      <c r="CE265" s="28"/>
      <c r="CF265" s="28"/>
      <c r="CG265" s="28"/>
      <c r="CH265" s="28"/>
      <c r="CI265" s="28"/>
      <c r="CJ265" s="28"/>
      <c r="CK265" s="28"/>
      <c r="CL265" s="28"/>
      <c r="CM265" s="28"/>
      <c r="CN265" s="28"/>
      <c r="CO265" s="28"/>
      <c r="CP265" s="28"/>
      <c r="CQ265" s="28"/>
      <c r="CR265" s="28"/>
      <c r="CS265" s="28"/>
    </row>
    <row r="266" spans="81:97" x14ac:dyDescent="0.3">
      <c r="CC266" s="28"/>
      <c r="CD266" s="28"/>
      <c r="CE266" s="28"/>
      <c r="CF266" s="28"/>
      <c r="CG266" s="28"/>
      <c r="CH266" s="28"/>
      <c r="CI266" s="28"/>
      <c r="CJ266" s="28"/>
      <c r="CK266" s="28"/>
      <c r="CL266" s="28"/>
      <c r="CM266" s="28"/>
      <c r="CN266" s="28"/>
      <c r="CO266" s="28"/>
      <c r="CP266" s="28"/>
      <c r="CQ266" s="28"/>
      <c r="CR266" s="28"/>
      <c r="CS266" s="28"/>
    </row>
    <row r="267" spans="81:97" x14ac:dyDescent="0.3">
      <c r="CC267" s="28"/>
      <c r="CD267" s="28"/>
      <c r="CE267" s="28"/>
      <c r="CF267" s="28"/>
      <c r="CG267" s="28"/>
      <c r="CH267" s="28"/>
      <c r="CI267" s="28"/>
      <c r="CJ267" s="28"/>
      <c r="CK267" s="28"/>
      <c r="CL267" s="28"/>
      <c r="CM267" s="28"/>
      <c r="CN267" s="28"/>
      <c r="CO267" s="28"/>
      <c r="CP267" s="28"/>
      <c r="CQ267" s="28"/>
      <c r="CR267" s="28"/>
      <c r="CS267" s="28"/>
    </row>
    <row r="268" spans="81:97" x14ac:dyDescent="0.3">
      <c r="CC268" s="28"/>
      <c r="CD268" s="28"/>
      <c r="CE268" s="28"/>
      <c r="CF268" s="28"/>
      <c r="CG268" s="28"/>
      <c r="CH268" s="28"/>
      <c r="CI268" s="28"/>
      <c r="CJ268" s="28"/>
      <c r="CK268" s="28"/>
      <c r="CL268" s="28"/>
      <c r="CM268" s="28"/>
      <c r="CN268" s="28"/>
      <c r="CO268" s="28"/>
      <c r="CP268" s="28"/>
      <c r="CQ268" s="28"/>
      <c r="CR268" s="28"/>
      <c r="CS268" s="28"/>
    </row>
    <row r="269" spans="81:97" x14ac:dyDescent="0.3">
      <c r="CC269" s="28"/>
      <c r="CD269" s="28"/>
      <c r="CE269" s="28"/>
      <c r="CF269" s="28"/>
      <c r="CG269" s="28"/>
      <c r="CH269" s="28"/>
      <c r="CI269" s="28"/>
      <c r="CJ269" s="28"/>
      <c r="CK269" s="28"/>
      <c r="CL269" s="28"/>
      <c r="CM269" s="28"/>
      <c r="CN269" s="28"/>
      <c r="CO269" s="28"/>
      <c r="CP269" s="28"/>
      <c r="CQ269" s="28"/>
      <c r="CR269" s="28"/>
      <c r="CS269" s="28"/>
    </row>
    <row r="270" spans="81:97" x14ac:dyDescent="0.3">
      <c r="CC270" s="28"/>
      <c r="CD270" s="28"/>
      <c r="CE270" s="28"/>
      <c r="CF270" s="28"/>
      <c r="CG270" s="28"/>
      <c r="CH270" s="28"/>
      <c r="CI270" s="28"/>
      <c r="CJ270" s="28"/>
      <c r="CK270" s="28"/>
      <c r="CL270" s="28"/>
      <c r="CM270" s="28"/>
      <c r="CN270" s="28"/>
      <c r="CO270" s="28"/>
      <c r="CP270" s="28"/>
      <c r="CQ270" s="28"/>
      <c r="CR270" s="28"/>
      <c r="CS270" s="28"/>
    </row>
    <row r="271" spans="81:97" x14ac:dyDescent="0.3">
      <c r="CC271" s="28"/>
      <c r="CD271" s="28"/>
      <c r="CE271" s="28"/>
      <c r="CF271" s="28"/>
      <c r="CG271" s="28"/>
      <c r="CH271" s="28"/>
      <c r="CI271" s="28"/>
      <c r="CJ271" s="28"/>
      <c r="CK271" s="28"/>
      <c r="CL271" s="28"/>
      <c r="CM271" s="28"/>
      <c r="CN271" s="28"/>
      <c r="CO271" s="28"/>
      <c r="CP271" s="28"/>
      <c r="CQ271" s="28"/>
      <c r="CR271" s="28"/>
      <c r="CS271" s="28"/>
    </row>
    <row r="272" spans="81:97" x14ac:dyDescent="0.3">
      <c r="CC272" s="28"/>
      <c r="CD272" s="28"/>
      <c r="CE272" s="28"/>
      <c r="CF272" s="28"/>
      <c r="CG272" s="28"/>
      <c r="CH272" s="28"/>
      <c r="CI272" s="28"/>
      <c r="CJ272" s="28"/>
      <c r="CK272" s="28"/>
      <c r="CL272" s="28"/>
      <c r="CM272" s="28"/>
      <c r="CN272" s="28"/>
      <c r="CO272" s="28"/>
      <c r="CP272" s="28"/>
      <c r="CQ272" s="28"/>
      <c r="CR272" s="28"/>
      <c r="CS272" s="28"/>
    </row>
    <row r="273" spans="81:97" x14ac:dyDescent="0.3">
      <c r="CC273" s="28"/>
      <c r="CD273" s="28"/>
      <c r="CE273" s="28"/>
      <c r="CF273" s="28"/>
      <c r="CG273" s="28"/>
      <c r="CH273" s="28"/>
      <c r="CI273" s="28"/>
      <c r="CJ273" s="28"/>
      <c r="CK273" s="28"/>
      <c r="CL273" s="28"/>
      <c r="CM273" s="28"/>
      <c r="CN273" s="28"/>
      <c r="CO273" s="28"/>
      <c r="CP273" s="28"/>
      <c r="CQ273" s="28"/>
      <c r="CR273" s="28"/>
      <c r="CS273" s="28"/>
    </row>
    <row r="274" spans="81:97" x14ac:dyDescent="0.3">
      <c r="CC274" s="28"/>
      <c r="CD274" s="28"/>
      <c r="CE274" s="28"/>
      <c r="CF274" s="28"/>
      <c r="CG274" s="28"/>
      <c r="CH274" s="28"/>
      <c r="CI274" s="28"/>
      <c r="CJ274" s="28"/>
      <c r="CK274" s="28"/>
      <c r="CL274" s="28"/>
      <c r="CM274" s="28"/>
      <c r="CN274" s="28"/>
      <c r="CO274" s="28"/>
      <c r="CP274" s="28"/>
      <c r="CQ274" s="28"/>
      <c r="CR274" s="28"/>
      <c r="CS274" s="28"/>
    </row>
    <row r="275" spans="81:97" x14ac:dyDescent="0.3">
      <c r="CC275" s="28"/>
      <c r="CD275" s="28"/>
      <c r="CE275" s="28"/>
      <c r="CF275" s="28"/>
      <c r="CG275" s="28"/>
      <c r="CH275" s="28"/>
      <c r="CI275" s="28"/>
      <c r="CJ275" s="28"/>
      <c r="CK275" s="28"/>
      <c r="CL275" s="28"/>
      <c r="CM275" s="28"/>
      <c r="CN275" s="28"/>
      <c r="CO275" s="28"/>
      <c r="CP275" s="28"/>
      <c r="CQ275" s="28"/>
      <c r="CR275" s="28"/>
      <c r="CS275" s="28"/>
    </row>
    <row r="276" spans="81:97" x14ac:dyDescent="0.3">
      <c r="CC276" s="28"/>
      <c r="CD276" s="28"/>
      <c r="CE276" s="28"/>
      <c r="CF276" s="28"/>
      <c r="CG276" s="28"/>
      <c r="CH276" s="28"/>
      <c r="CI276" s="28"/>
      <c r="CJ276" s="28"/>
      <c r="CK276" s="28"/>
      <c r="CL276" s="28"/>
      <c r="CM276" s="28"/>
      <c r="CN276" s="28"/>
      <c r="CO276" s="28"/>
      <c r="CP276" s="28"/>
      <c r="CQ276" s="28"/>
      <c r="CR276" s="28"/>
      <c r="CS276" s="28"/>
    </row>
    <row r="277" spans="81:97" x14ac:dyDescent="0.3">
      <c r="CC277" s="28"/>
      <c r="CD277" s="28"/>
      <c r="CE277" s="28"/>
      <c r="CF277" s="28"/>
      <c r="CG277" s="28"/>
      <c r="CH277" s="28"/>
      <c r="CI277" s="28"/>
      <c r="CJ277" s="28"/>
      <c r="CK277" s="28"/>
      <c r="CL277" s="28"/>
      <c r="CM277" s="28"/>
      <c r="CN277" s="28"/>
      <c r="CO277" s="28"/>
      <c r="CP277" s="28"/>
      <c r="CQ277" s="28"/>
      <c r="CR277" s="28"/>
      <c r="CS277" s="28"/>
    </row>
    <row r="278" spans="81:97" x14ac:dyDescent="0.3">
      <c r="CC278" s="28"/>
      <c r="CD278" s="28"/>
      <c r="CE278" s="28"/>
      <c r="CF278" s="28"/>
      <c r="CG278" s="28"/>
      <c r="CH278" s="28"/>
      <c r="CI278" s="28"/>
      <c r="CJ278" s="28"/>
      <c r="CK278" s="28"/>
      <c r="CL278" s="28"/>
      <c r="CM278" s="28"/>
      <c r="CN278" s="28"/>
      <c r="CO278" s="28"/>
      <c r="CP278" s="28"/>
      <c r="CQ278" s="28"/>
      <c r="CR278" s="28"/>
      <c r="CS278" s="28"/>
    </row>
    <row r="279" spans="81:97" x14ac:dyDescent="0.3">
      <c r="CC279" s="28"/>
      <c r="CD279" s="28"/>
      <c r="CE279" s="28"/>
      <c r="CF279" s="28"/>
      <c r="CG279" s="28"/>
      <c r="CH279" s="28"/>
      <c r="CI279" s="28"/>
      <c r="CJ279" s="28"/>
      <c r="CK279" s="28"/>
      <c r="CL279" s="28"/>
      <c r="CM279" s="28"/>
      <c r="CN279" s="28"/>
      <c r="CO279" s="28"/>
      <c r="CP279" s="28"/>
      <c r="CQ279" s="28"/>
      <c r="CR279" s="28"/>
      <c r="CS279" s="28"/>
    </row>
    <row r="280" spans="81:97" x14ac:dyDescent="0.3">
      <c r="CC280" s="28"/>
      <c r="CD280" s="28"/>
      <c r="CE280" s="28"/>
      <c r="CF280" s="28"/>
      <c r="CG280" s="28"/>
      <c r="CH280" s="28"/>
      <c r="CI280" s="28"/>
      <c r="CJ280" s="28"/>
      <c r="CK280" s="28"/>
      <c r="CL280" s="28"/>
      <c r="CM280" s="28"/>
      <c r="CN280" s="28"/>
      <c r="CO280" s="28"/>
      <c r="CP280" s="28"/>
      <c r="CQ280" s="28"/>
      <c r="CR280" s="28"/>
      <c r="CS280" s="28"/>
    </row>
    <row r="281" spans="81:97" x14ac:dyDescent="0.3">
      <c r="CC281" s="28"/>
      <c r="CD281" s="28"/>
      <c r="CE281" s="28"/>
      <c r="CF281" s="28"/>
      <c r="CG281" s="28"/>
      <c r="CH281" s="28"/>
      <c r="CI281" s="28"/>
      <c r="CJ281" s="28"/>
      <c r="CK281" s="28"/>
      <c r="CL281" s="28"/>
      <c r="CM281" s="28"/>
      <c r="CN281" s="28"/>
      <c r="CO281" s="28"/>
      <c r="CP281" s="28"/>
      <c r="CQ281" s="28"/>
      <c r="CR281" s="28"/>
      <c r="CS281" s="28"/>
    </row>
    <row r="282" spans="81:97" x14ac:dyDescent="0.3">
      <c r="CC282" s="28"/>
      <c r="CD282" s="28"/>
      <c r="CE282" s="28"/>
      <c r="CF282" s="28"/>
      <c r="CG282" s="28"/>
      <c r="CH282" s="28"/>
      <c r="CI282" s="28"/>
      <c r="CJ282" s="28"/>
      <c r="CK282" s="28"/>
      <c r="CL282" s="28"/>
      <c r="CM282" s="28"/>
      <c r="CN282" s="28"/>
      <c r="CO282" s="28"/>
      <c r="CP282" s="28"/>
      <c r="CQ282" s="28"/>
      <c r="CR282" s="28"/>
      <c r="CS282" s="28"/>
    </row>
    <row r="283" spans="81:97" x14ac:dyDescent="0.3">
      <c r="CC283" s="28"/>
      <c r="CD283" s="28"/>
      <c r="CE283" s="28"/>
      <c r="CF283" s="28"/>
      <c r="CG283" s="28"/>
      <c r="CH283" s="28"/>
      <c r="CI283" s="28"/>
      <c r="CJ283" s="28"/>
      <c r="CK283" s="28"/>
      <c r="CL283" s="28"/>
      <c r="CM283" s="28"/>
      <c r="CN283" s="28"/>
      <c r="CO283" s="28"/>
      <c r="CP283" s="28"/>
      <c r="CQ283" s="28"/>
      <c r="CR283" s="28"/>
      <c r="CS283" s="28"/>
    </row>
    <row r="284" spans="81:97" x14ac:dyDescent="0.3">
      <c r="CC284" s="28"/>
      <c r="CD284" s="28"/>
      <c r="CE284" s="28"/>
      <c r="CF284" s="28"/>
      <c r="CG284" s="28"/>
      <c r="CH284" s="28"/>
      <c r="CI284" s="28"/>
      <c r="CJ284" s="28"/>
      <c r="CK284" s="28"/>
      <c r="CL284" s="28"/>
      <c r="CM284" s="28"/>
      <c r="CN284" s="28"/>
      <c r="CO284" s="28"/>
      <c r="CP284" s="28"/>
      <c r="CQ284" s="28"/>
      <c r="CR284" s="28"/>
      <c r="CS284" s="28"/>
    </row>
    <row r="285" spans="81:97" x14ac:dyDescent="0.3">
      <c r="CC285" s="28"/>
      <c r="CD285" s="28"/>
      <c r="CE285" s="28"/>
      <c r="CF285" s="28"/>
      <c r="CG285" s="28"/>
      <c r="CH285" s="28"/>
      <c r="CI285" s="28"/>
      <c r="CJ285" s="28"/>
      <c r="CK285" s="28"/>
      <c r="CL285" s="28"/>
      <c r="CM285" s="28"/>
      <c r="CN285" s="28"/>
      <c r="CO285" s="28"/>
      <c r="CP285" s="28"/>
      <c r="CQ285" s="28"/>
      <c r="CR285" s="28"/>
      <c r="CS285" s="28"/>
    </row>
    <row r="286" spans="81:97" x14ac:dyDescent="0.3">
      <c r="CC286" s="28"/>
      <c r="CD286" s="28"/>
      <c r="CE286" s="28"/>
      <c r="CF286" s="28"/>
      <c r="CG286" s="28"/>
      <c r="CH286" s="28"/>
      <c r="CI286" s="28"/>
      <c r="CJ286" s="28"/>
      <c r="CK286" s="28"/>
      <c r="CL286" s="28"/>
      <c r="CM286" s="28"/>
      <c r="CN286" s="28"/>
      <c r="CO286" s="28"/>
      <c r="CP286" s="28"/>
      <c r="CQ286" s="28"/>
      <c r="CR286" s="28"/>
      <c r="CS286" s="28"/>
    </row>
    <row r="287" spans="81:97" x14ac:dyDescent="0.3">
      <c r="CC287" s="28"/>
      <c r="CD287" s="28"/>
      <c r="CE287" s="28"/>
      <c r="CF287" s="28"/>
      <c r="CG287" s="28"/>
      <c r="CH287" s="28"/>
      <c r="CI287" s="28"/>
      <c r="CJ287" s="28"/>
      <c r="CK287" s="28"/>
      <c r="CL287" s="28"/>
      <c r="CM287" s="28"/>
      <c r="CN287" s="28"/>
      <c r="CO287" s="28"/>
      <c r="CP287" s="28"/>
      <c r="CQ287" s="28"/>
      <c r="CR287" s="28"/>
      <c r="CS287" s="28"/>
    </row>
    <row r="288" spans="81:97" x14ac:dyDescent="0.3">
      <c r="CC288" s="28"/>
      <c r="CD288" s="28"/>
      <c r="CE288" s="28"/>
      <c r="CF288" s="28"/>
      <c r="CG288" s="28"/>
      <c r="CH288" s="28"/>
      <c r="CI288" s="28"/>
      <c r="CJ288" s="28"/>
      <c r="CK288" s="28"/>
      <c r="CL288" s="28"/>
      <c r="CM288" s="28"/>
      <c r="CN288" s="28"/>
      <c r="CO288" s="28"/>
      <c r="CP288" s="28"/>
      <c r="CQ288" s="28"/>
      <c r="CR288" s="28"/>
      <c r="CS288" s="28"/>
    </row>
    <row r="289" spans="81:97" x14ac:dyDescent="0.3">
      <c r="CC289" s="28"/>
      <c r="CD289" s="28"/>
      <c r="CE289" s="28"/>
      <c r="CF289" s="28"/>
      <c r="CG289" s="28"/>
      <c r="CH289" s="28"/>
      <c r="CI289" s="28"/>
      <c r="CJ289" s="28"/>
      <c r="CK289" s="28"/>
      <c r="CL289" s="28"/>
      <c r="CM289" s="28"/>
      <c r="CN289" s="28"/>
      <c r="CO289" s="28"/>
      <c r="CP289" s="28"/>
      <c r="CQ289" s="28"/>
      <c r="CR289" s="28"/>
      <c r="CS289" s="28"/>
    </row>
    <row r="290" spans="81:97" x14ac:dyDescent="0.3">
      <c r="CC290" s="28"/>
      <c r="CD290" s="28"/>
      <c r="CE290" s="28"/>
      <c r="CF290" s="28"/>
      <c r="CG290" s="28"/>
      <c r="CH290" s="28"/>
      <c r="CI290" s="28"/>
      <c r="CJ290" s="28"/>
      <c r="CK290" s="28"/>
      <c r="CL290" s="28"/>
      <c r="CM290" s="28"/>
      <c r="CN290" s="28"/>
      <c r="CO290" s="28"/>
      <c r="CP290" s="28"/>
      <c r="CQ290" s="28"/>
      <c r="CR290" s="28"/>
      <c r="CS290" s="28"/>
    </row>
    <row r="291" spans="81:97" x14ac:dyDescent="0.3">
      <c r="CC291" s="28"/>
      <c r="CD291" s="28"/>
      <c r="CE291" s="28"/>
      <c r="CF291" s="28"/>
      <c r="CG291" s="28"/>
      <c r="CH291" s="28"/>
      <c r="CI291" s="28"/>
      <c r="CJ291" s="28"/>
      <c r="CK291" s="28"/>
      <c r="CL291" s="28"/>
      <c r="CM291" s="28"/>
      <c r="CN291" s="28"/>
      <c r="CO291" s="28"/>
      <c r="CP291" s="28"/>
      <c r="CQ291" s="28"/>
      <c r="CR291" s="28"/>
      <c r="CS291" s="28"/>
    </row>
    <row r="292" spans="81:97" x14ac:dyDescent="0.3">
      <c r="CC292" s="28"/>
      <c r="CD292" s="28"/>
      <c r="CE292" s="28"/>
      <c r="CF292" s="28"/>
      <c r="CG292" s="28"/>
      <c r="CH292" s="28"/>
      <c r="CI292" s="28"/>
      <c r="CJ292" s="28"/>
      <c r="CK292" s="28"/>
      <c r="CL292" s="28"/>
      <c r="CM292" s="28"/>
      <c r="CN292" s="28"/>
      <c r="CO292" s="28"/>
      <c r="CP292" s="28"/>
      <c r="CQ292" s="28"/>
      <c r="CR292" s="28"/>
      <c r="CS292" s="28"/>
    </row>
    <row r="293" spans="81:97" x14ac:dyDescent="0.3">
      <c r="CC293" s="28"/>
      <c r="CD293" s="28"/>
      <c r="CE293" s="28"/>
      <c r="CF293" s="28"/>
      <c r="CG293" s="28"/>
      <c r="CH293" s="28"/>
      <c r="CI293" s="28"/>
      <c r="CJ293" s="28"/>
      <c r="CK293" s="28"/>
      <c r="CL293" s="28"/>
      <c r="CM293" s="28"/>
      <c r="CN293" s="28"/>
      <c r="CO293" s="28"/>
      <c r="CP293" s="28"/>
      <c r="CQ293" s="28"/>
      <c r="CR293" s="28"/>
      <c r="CS293" s="28"/>
    </row>
    <row r="294" spans="81:97" x14ac:dyDescent="0.3">
      <c r="CC294" s="28"/>
      <c r="CD294" s="28"/>
      <c r="CE294" s="28"/>
      <c r="CF294" s="28"/>
      <c r="CG294" s="28"/>
      <c r="CH294" s="28"/>
      <c r="CI294" s="28"/>
      <c r="CJ294" s="28"/>
      <c r="CK294" s="28"/>
      <c r="CL294" s="28"/>
      <c r="CM294" s="28"/>
      <c r="CN294" s="28"/>
      <c r="CO294" s="28"/>
      <c r="CP294" s="28"/>
      <c r="CQ294" s="28"/>
      <c r="CR294" s="28"/>
      <c r="CS294" s="28"/>
    </row>
    <row r="295" spans="81:97" x14ac:dyDescent="0.3">
      <c r="CC295" s="28"/>
      <c r="CD295" s="28"/>
      <c r="CE295" s="28"/>
      <c r="CF295" s="28"/>
      <c r="CG295" s="28"/>
      <c r="CH295" s="28"/>
      <c r="CI295" s="28"/>
      <c r="CJ295" s="28"/>
      <c r="CK295" s="28"/>
      <c r="CL295" s="28"/>
      <c r="CM295" s="28"/>
      <c r="CN295" s="28"/>
      <c r="CO295" s="28"/>
      <c r="CP295" s="28"/>
      <c r="CQ295" s="28"/>
      <c r="CR295" s="28"/>
      <c r="CS295" s="28"/>
    </row>
    <row r="296" spans="81:97" x14ac:dyDescent="0.3">
      <c r="CC296" s="28"/>
      <c r="CD296" s="28"/>
      <c r="CE296" s="28"/>
      <c r="CF296" s="28"/>
      <c r="CG296" s="28"/>
      <c r="CH296" s="28"/>
      <c r="CI296" s="28"/>
      <c r="CJ296" s="28"/>
      <c r="CK296" s="28"/>
      <c r="CL296" s="28"/>
      <c r="CM296" s="28"/>
      <c r="CN296" s="28"/>
      <c r="CO296" s="28"/>
      <c r="CP296" s="28"/>
      <c r="CQ296" s="28"/>
      <c r="CR296" s="28"/>
      <c r="CS296" s="28"/>
    </row>
    <row r="297" spans="81:97" x14ac:dyDescent="0.3">
      <c r="CC297" s="28"/>
      <c r="CD297" s="28"/>
      <c r="CE297" s="28"/>
      <c r="CF297" s="28"/>
      <c r="CG297" s="28"/>
      <c r="CH297" s="28"/>
      <c r="CI297" s="28"/>
      <c r="CJ297" s="28"/>
      <c r="CK297" s="28"/>
      <c r="CL297" s="28"/>
      <c r="CM297" s="28"/>
      <c r="CN297" s="28"/>
      <c r="CO297" s="28"/>
      <c r="CP297" s="28"/>
      <c r="CQ297" s="28"/>
      <c r="CR297" s="28"/>
      <c r="CS297" s="28"/>
    </row>
    <row r="298" spans="81:97" x14ac:dyDescent="0.3">
      <c r="CC298" s="28"/>
      <c r="CD298" s="28"/>
      <c r="CE298" s="28"/>
      <c r="CF298" s="28"/>
      <c r="CG298" s="28"/>
      <c r="CH298" s="28"/>
      <c r="CI298" s="28"/>
      <c r="CJ298" s="28"/>
      <c r="CK298" s="28"/>
      <c r="CL298" s="28"/>
      <c r="CM298" s="28"/>
      <c r="CN298" s="28"/>
      <c r="CO298" s="28"/>
      <c r="CP298" s="28"/>
      <c r="CQ298" s="28"/>
      <c r="CR298" s="28"/>
      <c r="CS298" s="28"/>
    </row>
    <row r="299" spans="81:97" x14ac:dyDescent="0.3">
      <c r="CC299" s="28"/>
      <c r="CD299" s="28"/>
      <c r="CE299" s="28"/>
      <c r="CF299" s="28"/>
      <c r="CG299" s="28"/>
      <c r="CH299" s="28"/>
      <c r="CI299" s="28"/>
      <c r="CJ299" s="28"/>
      <c r="CK299" s="28"/>
      <c r="CL299" s="28"/>
      <c r="CM299" s="28"/>
      <c r="CN299" s="28"/>
      <c r="CO299" s="28"/>
      <c r="CP299" s="28"/>
      <c r="CQ299" s="28"/>
      <c r="CR299" s="28"/>
      <c r="CS299" s="28"/>
    </row>
    <row r="300" spans="81:97" x14ac:dyDescent="0.3">
      <c r="CC300" s="28"/>
      <c r="CD300" s="28"/>
      <c r="CE300" s="28"/>
      <c r="CF300" s="28"/>
      <c r="CG300" s="28"/>
      <c r="CH300" s="28"/>
      <c r="CI300" s="28"/>
      <c r="CJ300" s="28"/>
      <c r="CK300" s="28"/>
      <c r="CL300" s="28"/>
      <c r="CM300" s="28"/>
      <c r="CN300" s="28"/>
      <c r="CO300" s="28"/>
      <c r="CP300" s="28"/>
      <c r="CQ300" s="28"/>
      <c r="CR300" s="28"/>
      <c r="CS300" s="28"/>
    </row>
    <row r="301" spans="81:97" x14ac:dyDescent="0.3">
      <c r="CC301" s="28"/>
      <c r="CD301" s="28"/>
      <c r="CE301" s="28"/>
      <c r="CF301" s="28"/>
      <c r="CG301" s="28"/>
      <c r="CH301" s="28"/>
      <c r="CI301" s="28"/>
      <c r="CJ301" s="28"/>
      <c r="CK301" s="28"/>
      <c r="CL301" s="28"/>
      <c r="CM301" s="28"/>
      <c r="CN301" s="28"/>
      <c r="CO301" s="28"/>
      <c r="CP301" s="28"/>
      <c r="CQ301" s="28"/>
      <c r="CR301" s="28"/>
      <c r="CS301" s="28"/>
    </row>
    <row r="302" spans="81:97" x14ac:dyDescent="0.3">
      <c r="CC302" s="28"/>
      <c r="CD302" s="28"/>
      <c r="CE302" s="28"/>
      <c r="CF302" s="28"/>
      <c r="CG302" s="28"/>
      <c r="CH302" s="28"/>
      <c r="CI302" s="28"/>
      <c r="CJ302" s="28"/>
      <c r="CK302" s="28"/>
      <c r="CL302" s="28"/>
      <c r="CM302" s="28"/>
      <c r="CN302" s="28"/>
      <c r="CO302" s="28"/>
      <c r="CP302" s="28"/>
      <c r="CQ302" s="28"/>
      <c r="CR302" s="28"/>
      <c r="CS302" s="28"/>
    </row>
    <row r="303" spans="81:97" x14ac:dyDescent="0.3">
      <c r="CC303" s="28"/>
      <c r="CD303" s="28"/>
      <c r="CE303" s="28"/>
      <c r="CF303" s="28"/>
      <c r="CG303" s="28"/>
      <c r="CH303" s="28"/>
      <c r="CI303" s="28"/>
      <c r="CJ303" s="28"/>
      <c r="CK303" s="28"/>
      <c r="CL303" s="28"/>
      <c r="CM303" s="28"/>
      <c r="CN303" s="28"/>
      <c r="CO303" s="28"/>
      <c r="CP303" s="28"/>
      <c r="CQ303" s="28"/>
      <c r="CR303" s="28"/>
      <c r="CS303" s="28"/>
    </row>
    <row r="304" spans="81:97" x14ac:dyDescent="0.3">
      <c r="CC304" s="28"/>
      <c r="CD304" s="28"/>
      <c r="CE304" s="28"/>
      <c r="CF304" s="28"/>
      <c r="CG304" s="28"/>
      <c r="CH304" s="28"/>
      <c r="CI304" s="28"/>
      <c r="CJ304" s="28"/>
      <c r="CK304" s="28"/>
      <c r="CL304" s="28"/>
      <c r="CM304" s="28"/>
      <c r="CN304" s="28"/>
      <c r="CO304" s="28"/>
      <c r="CP304" s="28"/>
      <c r="CQ304" s="28"/>
      <c r="CR304" s="28"/>
      <c r="CS304" s="28"/>
    </row>
    <row r="305" spans="81:97" x14ac:dyDescent="0.3">
      <c r="CC305" s="28"/>
      <c r="CD305" s="28"/>
      <c r="CE305" s="28"/>
      <c r="CF305" s="28"/>
      <c r="CG305" s="28"/>
      <c r="CH305" s="28"/>
      <c r="CI305" s="28"/>
      <c r="CJ305" s="28"/>
      <c r="CK305" s="28"/>
      <c r="CL305" s="28"/>
      <c r="CM305" s="28"/>
      <c r="CN305" s="28"/>
      <c r="CO305" s="28"/>
      <c r="CP305" s="28"/>
      <c r="CQ305" s="28"/>
      <c r="CR305" s="28"/>
      <c r="CS305" s="28"/>
    </row>
    <row r="306" spans="81:97" x14ac:dyDescent="0.3">
      <c r="CC306" s="28"/>
      <c r="CD306" s="28"/>
      <c r="CE306" s="28"/>
      <c r="CF306" s="28"/>
      <c r="CG306" s="28"/>
      <c r="CH306" s="28"/>
      <c r="CI306" s="28"/>
      <c r="CJ306" s="28"/>
      <c r="CK306" s="28"/>
      <c r="CL306" s="28"/>
      <c r="CM306" s="28"/>
      <c r="CN306" s="28"/>
      <c r="CO306" s="28"/>
      <c r="CP306" s="28"/>
      <c r="CQ306" s="28"/>
      <c r="CR306" s="28"/>
      <c r="CS306" s="28"/>
    </row>
    <row r="307" spans="81:97" x14ac:dyDescent="0.3">
      <c r="CC307" s="28"/>
      <c r="CD307" s="28"/>
      <c r="CE307" s="28"/>
      <c r="CF307" s="28"/>
      <c r="CG307" s="28"/>
      <c r="CH307" s="28"/>
      <c r="CI307" s="28"/>
      <c r="CJ307" s="28"/>
      <c r="CK307" s="28"/>
      <c r="CL307" s="28"/>
      <c r="CM307" s="28"/>
      <c r="CN307" s="28"/>
      <c r="CO307" s="28"/>
      <c r="CP307" s="28"/>
      <c r="CQ307" s="28"/>
      <c r="CR307" s="28"/>
      <c r="CS307" s="28"/>
    </row>
    <row r="308" spans="81:97" x14ac:dyDescent="0.3">
      <c r="CC308" s="28"/>
      <c r="CD308" s="28"/>
      <c r="CE308" s="28"/>
      <c r="CF308" s="28"/>
      <c r="CG308" s="28"/>
      <c r="CH308" s="28"/>
      <c r="CI308" s="28"/>
      <c r="CJ308" s="28"/>
      <c r="CK308" s="28"/>
      <c r="CL308" s="28"/>
      <c r="CM308" s="28"/>
      <c r="CN308" s="28"/>
      <c r="CO308" s="28"/>
      <c r="CP308" s="28"/>
      <c r="CQ308" s="28"/>
      <c r="CR308" s="28"/>
      <c r="CS308" s="28"/>
    </row>
    <row r="309" spans="81:97" x14ac:dyDescent="0.3">
      <c r="CC309" s="28"/>
      <c r="CD309" s="28"/>
      <c r="CE309" s="28"/>
      <c r="CF309" s="28"/>
      <c r="CG309" s="28"/>
      <c r="CH309" s="28"/>
      <c r="CI309" s="28"/>
      <c r="CJ309" s="28"/>
      <c r="CK309" s="28"/>
      <c r="CL309" s="28"/>
      <c r="CM309" s="28"/>
      <c r="CN309" s="28"/>
      <c r="CO309" s="28"/>
      <c r="CP309" s="28"/>
      <c r="CQ309" s="28"/>
      <c r="CR309" s="28"/>
      <c r="CS309" s="28"/>
    </row>
    <row r="310" spans="81:97" x14ac:dyDescent="0.3">
      <c r="CC310" s="28"/>
      <c r="CD310" s="28"/>
      <c r="CE310" s="28"/>
      <c r="CF310" s="28"/>
      <c r="CG310" s="28"/>
      <c r="CH310" s="28"/>
      <c r="CI310" s="28"/>
      <c r="CJ310" s="28"/>
      <c r="CK310" s="28"/>
      <c r="CL310" s="28"/>
      <c r="CM310" s="28"/>
      <c r="CN310" s="28"/>
      <c r="CO310" s="28"/>
      <c r="CP310" s="28"/>
      <c r="CQ310" s="28"/>
      <c r="CR310" s="28"/>
      <c r="CS310" s="28"/>
    </row>
    <row r="311" spans="81:97" x14ac:dyDescent="0.3">
      <c r="CC311" s="28"/>
      <c r="CD311" s="28"/>
      <c r="CE311" s="28"/>
      <c r="CF311" s="28"/>
      <c r="CG311" s="28"/>
      <c r="CH311" s="28"/>
      <c r="CI311" s="28"/>
      <c r="CJ311" s="28"/>
      <c r="CK311" s="28"/>
      <c r="CL311" s="28"/>
      <c r="CM311" s="28"/>
      <c r="CN311" s="28"/>
      <c r="CO311" s="28"/>
      <c r="CP311" s="28"/>
      <c r="CQ311" s="28"/>
      <c r="CR311" s="28"/>
      <c r="CS311" s="28"/>
    </row>
    <row r="312" spans="81:97" x14ac:dyDescent="0.3">
      <c r="CC312" s="28"/>
      <c r="CD312" s="28"/>
      <c r="CE312" s="28"/>
      <c r="CF312" s="28"/>
      <c r="CG312" s="28"/>
      <c r="CH312" s="28"/>
      <c r="CI312" s="28"/>
      <c r="CJ312" s="28"/>
      <c r="CK312" s="28"/>
      <c r="CL312" s="28"/>
      <c r="CM312" s="28"/>
      <c r="CN312" s="28"/>
      <c r="CO312" s="28"/>
      <c r="CP312" s="28"/>
      <c r="CQ312" s="28"/>
      <c r="CR312" s="28"/>
      <c r="CS312" s="28"/>
    </row>
    <row r="313" spans="81:97" x14ac:dyDescent="0.3">
      <c r="CC313" s="28"/>
      <c r="CD313" s="28"/>
      <c r="CE313" s="28"/>
      <c r="CF313" s="28"/>
      <c r="CG313" s="28"/>
      <c r="CH313" s="28"/>
      <c r="CI313" s="28"/>
      <c r="CJ313" s="28"/>
      <c r="CK313" s="28"/>
      <c r="CL313" s="28"/>
      <c r="CM313" s="28"/>
      <c r="CN313" s="28"/>
      <c r="CO313" s="28"/>
      <c r="CP313" s="28"/>
      <c r="CQ313" s="28"/>
      <c r="CR313" s="28"/>
      <c r="CS313" s="28"/>
    </row>
    <row r="314" spans="81:97" x14ac:dyDescent="0.3">
      <c r="CC314" s="28"/>
      <c r="CD314" s="28"/>
      <c r="CE314" s="28"/>
      <c r="CF314" s="28"/>
      <c r="CG314" s="28"/>
      <c r="CH314" s="28"/>
      <c r="CI314" s="28"/>
      <c r="CJ314" s="28"/>
      <c r="CK314" s="28"/>
      <c r="CL314" s="28"/>
      <c r="CM314" s="28"/>
      <c r="CN314" s="28"/>
      <c r="CO314" s="28"/>
      <c r="CP314" s="28"/>
      <c r="CQ314" s="28"/>
      <c r="CR314" s="28"/>
      <c r="CS314" s="28"/>
    </row>
    <row r="315" spans="81:97" x14ac:dyDescent="0.3">
      <c r="CC315" s="28"/>
      <c r="CD315" s="28"/>
      <c r="CE315" s="28"/>
      <c r="CF315" s="28"/>
      <c r="CG315" s="28"/>
      <c r="CH315" s="28"/>
      <c r="CI315" s="28"/>
      <c r="CJ315" s="28"/>
      <c r="CK315" s="28"/>
      <c r="CL315" s="28"/>
      <c r="CM315" s="28"/>
      <c r="CN315" s="28"/>
      <c r="CO315" s="28"/>
      <c r="CP315" s="28"/>
      <c r="CQ315" s="28"/>
      <c r="CR315" s="28"/>
      <c r="CS315" s="28"/>
    </row>
    <row r="316" spans="81:97" x14ac:dyDescent="0.3">
      <c r="CC316" s="28"/>
      <c r="CD316" s="28"/>
      <c r="CE316" s="28"/>
      <c r="CF316" s="28"/>
      <c r="CG316" s="28"/>
      <c r="CH316" s="28"/>
      <c r="CI316" s="28"/>
      <c r="CJ316" s="28"/>
      <c r="CK316" s="28"/>
      <c r="CL316" s="28"/>
      <c r="CM316" s="28"/>
      <c r="CN316" s="28"/>
      <c r="CO316" s="28"/>
      <c r="CP316" s="28"/>
      <c r="CQ316" s="28"/>
      <c r="CR316" s="28"/>
      <c r="CS316" s="28"/>
    </row>
    <row r="317" spans="81:97" x14ac:dyDescent="0.3">
      <c r="CC317" s="28"/>
      <c r="CD317" s="28"/>
      <c r="CE317" s="28"/>
      <c r="CF317" s="28"/>
      <c r="CG317" s="28"/>
      <c r="CH317" s="28"/>
      <c r="CI317" s="28"/>
      <c r="CJ317" s="28"/>
      <c r="CK317" s="28"/>
      <c r="CL317" s="28"/>
      <c r="CM317" s="28"/>
      <c r="CN317" s="28"/>
      <c r="CO317" s="28"/>
      <c r="CP317" s="28"/>
      <c r="CQ317" s="28"/>
      <c r="CR317" s="28"/>
      <c r="CS317" s="28"/>
    </row>
    <row r="318" spans="81:97" x14ac:dyDescent="0.3">
      <c r="CC318" s="28"/>
      <c r="CD318" s="28"/>
      <c r="CE318" s="28"/>
      <c r="CF318" s="28"/>
      <c r="CG318" s="28"/>
      <c r="CH318" s="28"/>
      <c r="CI318" s="28"/>
      <c r="CJ318" s="28"/>
      <c r="CK318" s="28"/>
      <c r="CL318" s="28"/>
      <c r="CM318" s="28"/>
      <c r="CN318" s="28"/>
      <c r="CO318" s="28"/>
      <c r="CP318" s="28"/>
      <c r="CQ318" s="28"/>
      <c r="CR318" s="28"/>
      <c r="CS318" s="28"/>
    </row>
    <row r="319" spans="81:97" x14ac:dyDescent="0.3">
      <c r="CC319" s="28"/>
      <c r="CD319" s="28"/>
      <c r="CE319" s="28"/>
      <c r="CF319" s="28"/>
      <c r="CG319" s="28"/>
      <c r="CH319" s="28"/>
      <c r="CI319" s="28"/>
      <c r="CJ319" s="28"/>
      <c r="CK319" s="28"/>
      <c r="CL319" s="28"/>
      <c r="CM319" s="28"/>
      <c r="CN319" s="28"/>
      <c r="CO319" s="28"/>
      <c r="CP319" s="28"/>
      <c r="CQ319" s="28"/>
      <c r="CR319" s="28"/>
      <c r="CS319" s="28"/>
    </row>
    <row r="320" spans="81:97" x14ac:dyDescent="0.3">
      <c r="CC320" s="28"/>
      <c r="CD320" s="28"/>
      <c r="CE320" s="28"/>
      <c r="CF320" s="28"/>
      <c r="CG320" s="28"/>
      <c r="CH320" s="28"/>
      <c r="CI320" s="28"/>
      <c r="CJ320" s="28"/>
      <c r="CK320" s="28"/>
      <c r="CL320" s="28"/>
      <c r="CM320" s="28"/>
      <c r="CN320" s="28"/>
      <c r="CO320" s="28"/>
      <c r="CP320" s="28"/>
      <c r="CQ320" s="28"/>
      <c r="CR320" s="28"/>
      <c r="CS320" s="28"/>
    </row>
    <row r="321" spans="81:97" x14ac:dyDescent="0.3">
      <c r="CC321" s="28"/>
      <c r="CD321" s="28"/>
      <c r="CE321" s="28"/>
      <c r="CF321" s="28"/>
      <c r="CG321" s="28"/>
      <c r="CH321" s="28"/>
      <c r="CI321" s="28"/>
      <c r="CJ321" s="28"/>
      <c r="CK321" s="28"/>
      <c r="CL321" s="28"/>
      <c r="CM321" s="28"/>
      <c r="CN321" s="28"/>
      <c r="CO321" s="28"/>
      <c r="CP321" s="28"/>
      <c r="CQ321" s="28"/>
      <c r="CR321" s="28"/>
      <c r="CS321" s="28"/>
    </row>
    <row r="322" spans="81:97" x14ac:dyDescent="0.3">
      <c r="CC322" s="28"/>
      <c r="CD322" s="28"/>
      <c r="CE322" s="28"/>
      <c r="CF322" s="28"/>
      <c r="CG322" s="28"/>
      <c r="CH322" s="28"/>
      <c r="CI322" s="28"/>
      <c r="CJ322" s="28"/>
      <c r="CK322" s="28"/>
      <c r="CL322" s="28"/>
      <c r="CM322" s="28"/>
      <c r="CN322" s="28"/>
      <c r="CO322" s="28"/>
      <c r="CP322" s="28"/>
      <c r="CQ322" s="28"/>
      <c r="CR322" s="28"/>
      <c r="CS322" s="28"/>
    </row>
    <row r="323" spans="81:97" x14ac:dyDescent="0.3">
      <c r="CC323" s="28"/>
      <c r="CD323" s="28"/>
      <c r="CE323" s="28"/>
      <c r="CF323" s="28"/>
      <c r="CG323" s="28"/>
      <c r="CH323" s="28"/>
      <c r="CI323" s="28"/>
      <c r="CJ323" s="28"/>
      <c r="CK323" s="28"/>
      <c r="CL323" s="28"/>
      <c r="CM323" s="28"/>
      <c r="CN323" s="28"/>
      <c r="CO323" s="28"/>
      <c r="CP323" s="28"/>
      <c r="CQ323" s="28"/>
      <c r="CR323" s="28"/>
      <c r="CS323" s="28"/>
    </row>
    <row r="324" spans="81:97" x14ac:dyDescent="0.3">
      <c r="CC324" s="28"/>
      <c r="CD324" s="28"/>
      <c r="CE324" s="28"/>
      <c r="CF324" s="28"/>
      <c r="CG324" s="28"/>
      <c r="CH324" s="28"/>
      <c r="CI324" s="28"/>
      <c r="CJ324" s="28"/>
      <c r="CK324" s="28"/>
      <c r="CL324" s="28"/>
      <c r="CM324" s="28"/>
      <c r="CN324" s="28"/>
      <c r="CO324" s="28"/>
      <c r="CP324" s="28"/>
      <c r="CQ324" s="28"/>
      <c r="CR324" s="28"/>
      <c r="CS324" s="28"/>
    </row>
    <row r="325" spans="81:97" x14ac:dyDescent="0.3">
      <c r="CC325" s="28"/>
      <c r="CD325" s="28"/>
      <c r="CE325" s="28"/>
      <c r="CF325" s="28"/>
      <c r="CG325" s="28"/>
      <c r="CH325" s="28"/>
      <c r="CI325" s="28"/>
      <c r="CJ325" s="28"/>
      <c r="CK325" s="28"/>
      <c r="CL325" s="28"/>
      <c r="CM325" s="28"/>
      <c r="CN325" s="28"/>
      <c r="CO325" s="28"/>
      <c r="CP325" s="28"/>
      <c r="CQ325" s="28"/>
      <c r="CR325" s="28"/>
      <c r="CS325" s="28"/>
    </row>
    <row r="326" spans="81:97" x14ac:dyDescent="0.3">
      <c r="CC326" s="28"/>
      <c r="CD326" s="28"/>
      <c r="CE326" s="28"/>
      <c r="CF326" s="28"/>
      <c r="CG326" s="28"/>
      <c r="CH326" s="28"/>
      <c r="CI326" s="28"/>
      <c r="CJ326" s="28"/>
      <c r="CK326" s="28"/>
      <c r="CL326" s="28"/>
      <c r="CM326" s="28"/>
      <c r="CN326" s="28"/>
      <c r="CO326" s="28"/>
      <c r="CP326" s="28"/>
      <c r="CQ326" s="28"/>
      <c r="CR326" s="28"/>
      <c r="CS326" s="28"/>
    </row>
    <row r="327" spans="81:97" x14ac:dyDescent="0.3">
      <c r="CC327" s="28"/>
      <c r="CD327" s="28"/>
      <c r="CE327" s="28"/>
      <c r="CF327" s="28"/>
      <c r="CG327" s="28"/>
      <c r="CH327" s="28"/>
      <c r="CI327" s="28"/>
      <c r="CJ327" s="28"/>
      <c r="CK327" s="28"/>
      <c r="CL327" s="28"/>
      <c r="CM327" s="28"/>
      <c r="CN327" s="28"/>
      <c r="CO327" s="28"/>
      <c r="CP327" s="28"/>
      <c r="CQ327" s="28"/>
      <c r="CR327" s="28"/>
      <c r="CS327" s="28"/>
    </row>
    <row r="328" spans="81:97" x14ac:dyDescent="0.3">
      <c r="CC328" s="28"/>
      <c r="CD328" s="28"/>
      <c r="CE328" s="28"/>
      <c r="CF328" s="28"/>
      <c r="CG328" s="28"/>
      <c r="CH328" s="28"/>
      <c r="CI328" s="28"/>
      <c r="CJ328" s="28"/>
      <c r="CK328" s="28"/>
      <c r="CL328" s="28"/>
      <c r="CM328" s="28"/>
      <c r="CN328" s="28"/>
      <c r="CO328" s="28"/>
      <c r="CP328" s="28"/>
      <c r="CQ328" s="28"/>
      <c r="CR328" s="28"/>
      <c r="CS328" s="28"/>
    </row>
    <row r="329" spans="81:97" x14ac:dyDescent="0.3">
      <c r="CC329" s="28"/>
      <c r="CD329" s="28"/>
      <c r="CE329" s="28"/>
      <c r="CF329" s="28"/>
      <c r="CG329" s="28"/>
      <c r="CH329" s="28"/>
      <c r="CI329" s="28"/>
      <c r="CJ329" s="28"/>
      <c r="CK329" s="28"/>
      <c r="CL329" s="28"/>
      <c r="CM329" s="28"/>
      <c r="CN329" s="28"/>
      <c r="CO329" s="28"/>
      <c r="CP329" s="28"/>
      <c r="CQ329" s="28"/>
      <c r="CR329" s="28"/>
      <c r="CS329" s="28"/>
    </row>
    <row r="330" spans="81:97" x14ac:dyDescent="0.3">
      <c r="CC330" s="28"/>
      <c r="CD330" s="28"/>
      <c r="CE330" s="28"/>
      <c r="CF330" s="28"/>
      <c r="CG330" s="28"/>
      <c r="CH330" s="28"/>
      <c r="CI330" s="28"/>
      <c r="CJ330" s="28"/>
      <c r="CK330" s="28"/>
      <c r="CL330" s="28"/>
      <c r="CM330" s="28"/>
      <c r="CN330" s="28"/>
      <c r="CO330" s="28"/>
      <c r="CP330" s="28"/>
      <c r="CQ330" s="28"/>
      <c r="CR330" s="28"/>
      <c r="CS330" s="28"/>
    </row>
    <row r="331" spans="81:97" x14ac:dyDescent="0.3">
      <c r="CC331" s="28"/>
      <c r="CD331" s="28"/>
      <c r="CE331" s="28"/>
      <c r="CF331" s="28"/>
      <c r="CG331" s="28"/>
      <c r="CH331" s="28"/>
      <c r="CI331" s="28"/>
      <c r="CJ331" s="28"/>
      <c r="CK331" s="28"/>
      <c r="CL331" s="28"/>
      <c r="CM331" s="28"/>
      <c r="CN331" s="28"/>
      <c r="CO331" s="28"/>
      <c r="CP331" s="28"/>
      <c r="CQ331" s="28"/>
      <c r="CR331" s="28"/>
      <c r="CS331" s="28"/>
    </row>
    <row r="332" spans="81:97" x14ac:dyDescent="0.3">
      <c r="CC332" s="28"/>
      <c r="CD332" s="28"/>
      <c r="CE332" s="28"/>
      <c r="CF332" s="28"/>
      <c r="CG332" s="28"/>
      <c r="CH332" s="28"/>
      <c r="CI332" s="28"/>
      <c r="CJ332" s="28"/>
      <c r="CK332" s="28"/>
      <c r="CL332" s="28"/>
      <c r="CM332" s="28"/>
      <c r="CN332" s="28"/>
      <c r="CO332" s="28"/>
      <c r="CP332" s="28"/>
      <c r="CQ332" s="28"/>
      <c r="CR332" s="28"/>
      <c r="CS332" s="28"/>
    </row>
    <row r="333" spans="81:97" x14ac:dyDescent="0.3">
      <c r="CC333" s="28"/>
      <c r="CD333" s="28"/>
      <c r="CE333" s="28"/>
      <c r="CF333" s="28"/>
      <c r="CG333" s="28"/>
      <c r="CH333" s="28"/>
      <c r="CI333" s="28"/>
      <c r="CJ333" s="28"/>
      <c r="CK333" s="28"/>
      <c r="CL333" s="28"/>
      <c r="CM333" s="28"/>
      <c r="CN333" s="28"/>
      <c r="CO333" s="28"/>
      <c r="CP333" s="28"/>
      <c r="CQ333" s="28"/>
      <c r="CR333" s="28"/>
      <c r="CS333" s="28"/>
    </row>
    <row r="334" spans="81:97" x14ac:dyDescent="0.3">
      <c r="CC334" s="28"/>
      <c r="CD334" s="28"/>
      <c r="CE334" s="28"/>
      <c r="CF334" s="28"/>
      <c r="CG334" s="28"/>
      <c r="CH334" s="28"/>
      <c r="CI334" s="28"/>
      <c r="CJ334" s="28"/>
      <c r="CK334" s="28"/>
      <c r="CL334" s="28"/>
      <c r="CM334" s="28"/>
      <c r="CN334" s="28"/>
      <c r="CO334" s="28"/>
      <c r="CP334" s="28"/>
      <c r="CQ334" s="28"/>
      <c r="CR334" s="28"/>
      <c r="CS334" s="28"/>
    </row>
    <row r="335" spans="81:97" x14ac:dyDescent="0.3">
      <c r="CC335" s="28"/>
      <c r="CD335" s="28"/>
      <c r="CE335" s="28"/>
      <c r="CF335" s="28"/>
      <c r="CG335" s="28"/>
      <c r="CH335" s="28"/>
      <c r="CI335" s="28"/>
      <c r="CJ335" s="28"/>
      <c r="CK335" s="28"/>
      <c r="CL335" s="28"/>
      <c r="CM335" s="28"/>
      <c r="CN335" s="28"/>
      <c r="CO335" s="28"/>
      <c r="CP335" s="28"/>
      <c r="CQ335" s="28"/>
      <c r="CR335" s="28"/>
      <c r="CS335" s="28"/>
    </row>
    <row r="336" spans="81:97" x14ac:dyDescent="0.3">
      <c r="CC336" s="28"/>
      <c r="CD336" s="28"/>
      <c r="CE336" s="28"/>
      <c r="CF336" s="28"/>
      <c r="CG336" s="28"/>
      <c r="CH336" s="28"/>
      <c r="CI336" s="28"/>
      <c r="CJ336" s="28"/>
      <c r="CK336" s="28"/>
      <c r="CL336" s="28"/>
      <c r="CM336" s="28"/>
      <c r="CN336" s="28"/>
      <c r="CO336" s="28"/>
      <c r="CP336" s="28"/>
      <c r="CQ336" s="28"/>
      <c r="CR336" s="28"/>
      <c r="CS336" s="28"/>
    </row>
    <row r="337" spans="81:97" x14ac:dyDescent="0.3">
      <c r="CC337" s="28"/>
      <c r="CD337" s="28"/>
      <c r="CE337" s="28"/>
      <c r="CF337" s="28"/>
      <c r="CG337" s="28"/>
      <c r="CH337" s="28"/>
      <c r="CI337" s="28"/>
      <c r="CJ337" s="28"/>
      <c r="CK337" s="28"/>
      <c r="CL337" s="28"/>
      <c r="CM337" s="28"/>
      <c r="CN337" s="28"/>
      <c r="CO337" s="28"/>
      <c r="CP337" s="28"/>
      <c r="CQ337" s="28"/>
      <c r="CR337" s="28"/>
      <c r="CS337" s="28"/>
    </row>
    <row r="338" spans="81:97" x14ac:dyDescent="0.3">
      <c r="CC338" s="28"/>
      <c r="CD338" s="28"/>
      <c r="CE338" s="28"/>
      <c r="CF338" s="28"/>
      <c r="CG338" s="28"/>
      <c r="CH338" s="28"/>
      <c r="CI338" s="28"/>
      <c r="CJ338" s="28"/>
      <c r="CK338" s="28"/>
      <c r="CL338" s="28"/>
      <c r="CM338" s="28"/>
      <c r="CN338" s="28"/>
      <c r="CO338" s="28"/>
      <c r="CP338" s="28"/>
      <c r="CQ338" s="28"/>
      <c r="CR338" s="28"/>
      <c r="CS338" s="28"/>
    </row>
    <row r="339" spans="81:97" x14ac:dyDescent="0.3">
      <c r="CC339" s="28"/>
      <c r="CD339" s="28"/>
      <c r="CE339" s="28"/>
      <c r="CF339" s="28"/>
      <c r="CG339" s="28"/>
      <c r="CH339" s="28"/>
      <c r="CI339" s="28"/>
      <c r="CJ339" s="28"/>
      <c r="CK339" s="28"/>
      <c r="CL339" s="28"/>
      <c r="CM339" s="28"/>
      <c r="CN339" s="28"/>
      <c r="CO339" s="28"/>
      <c r="CP339" s="28"/>
      <c r="CQ339" s="28"/>
      <c r="CR339" s="28"/>
      <c r="CS339" s="28"/>
    </row>
    <row r="340" spans="81:97" x14ac:dyDescent="0.3">
      <c r="CC340" s="28"/>
      <c r="CD340" s="28"/>
      <c r="CE340" s="28"/>
      <c r="CF340" s="28"/>
      <c r="CG340" s="28"/>
      <c r="CH340" s="28"/>
      <c r="CI340" s="28"/>
      <c r="CJ340" s="28"/>
      <c r="CK340" s="28"/>
      <c r="CL340" s="28"/>
      <c r="CM340" s="28"/>
      <c r="CN340" s="28"/>
      <c r="CO340" s="28"/>
      <c r="CP340" s="28"/>
      <c r="CQ340" s="28"/>
      <c r="CR340" s="28"/>
      <c r="CS340" s="28"/>
    </row>
    <row r="341" spans="81:97" x14ac:dyDescent="0.3">
      <c r="CC341" s="28"/>
      <c r="CD341" s="28"/>
      <c r="CE341" s="28"/>
      <c r="CF341" s="28"/>
      <c r="CG341" s="28"/>
      <c r="CH341" s="28"/>
      <c r="CI341" s="28"/>
      <c r="CJ341" s="28"/>
      <c r="CK341" s="28"/>
      <c r="CL341" s="28"/>
      <c r="CM341" s="28"/>
      <c r="CN341" s="28"/>
      <c r="CO341" s="28"/>
      <c r="CP341" s="28"/>
      <c r="CQ341" s="28"/>
      <c r="CR341" s="28"/>
      <c r="CS341" s="28"/>
    </row>
    <row r="342" spans="81:97" x14ac:dyDescent="0.3">
      <c r="CC342" s="28"/>
      <c r="CD342" s="28"/>
      <c r="CE342" s="28"/>
      <c r="CF342" s="28"/>
      <c r="CG342" s="28"/>
      <c r="CH342" s="28"/>
      <c r="CI342" s="28"/>
      <c r="CJ342" s="28"/>
      <c r="CK342" s="28"/>
      <c r="CL342" s="28"/>
      <c r="CM342" s="28"/>
      <c r="CN342" s="28"/>
      <c r="CO342" s="28"/>
      <c r="CP342" s="28"/>
      <c r="CQ342" s="28"/>
      <c r="CR342" s="28"/>
      <c r="CS342" s="28"/>
    </row>
    <row r="343" spans="81:97" x14ac:dyDescent="0.3">
      <c r="CC343" s="28"/>
      <c r="CD343" s="28"/>
      <c r="CE343" s="28"/>
      <c r="CF343" s="28"/>
      <c r="CG343" s="28"/>
      <c r="CH343" s="28"/>
      <c r="CI343" s="28"/>
      <c r="CJ343" s="28"/>
      <c r="CK343" s="28"/>
      <c r="CL343" s="28"/>
      <c r="CM343" s="28"/>
      <c r="CN343" s="28"/>
      <c r="CO343" s="28"/>
      <c r="CP343" s="28"/>
      <c r="CQ343" s="28"/>
      <c r="CR343" s="28"/>
      <c r="CS343" s="28"/>
    </row>
    <row r="344" spans="81:97" x14ac:dyDescent="0.3">
      <c r="CC344" s="28"/>
      <c r="CD344" s="28"/>
      <c r="CE344" s="28"/>
      <c r="CF344" s="28"/>
      <c r="CG344" s="28"/>
      <c r="CH344" s="28"/>
      <c r="CI344" s="28"/>
      <c r="CJ344" s="28"/>
      <c r="CK344" s="28"/>
      <c r="CL344" s="28"/>
      <c r="CM344" s="28"/>
      <c r="CN344" s="28"/>
      <c r="CO344" s="28"/>
      <c r="CP344" s="28"/>
      <c r="CQ344" s="28"/>
      <c r="CR344" s="28"/>
      <c r="CS344" s="28"/>
    </row>
    <row r="345" spans="81:97" x14ac:dyDescent="0.3">
      <c r="CC345" s="28"/>
      <c r="CD345" s="28"/>
      <c r="CE345" s="28"/>
      <c r="CF345" s="28"/>
      <c r="CG345" s="28"/>
      <c r="CH345" s="28"/>
      <c r="CI345" s="28"/>
      <c r="CJ345" s="28"/>
      <c r="CK345" s="28"/>
      <c r="CL345" s="28"/>
      <c r="CM345" s="28"/>
      <c r="CN345" s="28"/>
      <c r="CO345" s="28"/>
      <c r="CP345" s="28"/>
      <c r="CQ345" s="28"/>
      <c r="CR345" s="28"/>
      <c r="CS345" s="28"/>
    </row>
    <row r="346" spans="81:97" x14ac:dyDescent="0.3">
      <c r="CC346" s="28"/>
      <c r="CD346" s="28"/>
      <c r="CE346" s="28"/>
      <c r="CF346" s="28"/>
      <c r="CG346" s="28"/>
      <c r="CH346" s="28"/>
      <c r="CI346" s="28"/>
      <c r="CJ346" s="28"/>
      <c r="CK346" s="28"/>
      <c r="CL346" s="28"/>
      <c r="CM346" s="28"/>
      <c r="CN346" s="28"/>
      <c r="CO346" s="28"/>
      <c r="CP346" s="28"/>
      <c r="CQ346" s="28"/>
      <c r="CR346" s="28"/>
      <c r="CS346" s="28"/>
    </row>
    <row r="347" spans="81:97" x14ac:dyDescent="0.3">
      <c r="CC347" s="28"/>
      <c r="CD347" s="28"/>
      <c r="CE347" s="28"/>
      <c r="CF347" s="28"/>
      <c r="CG347" s="28"/>
      <c r="CH347" s="28"/>
      <c r="CI347" s="28"/>
      <c r="CJ347" s="28"/>
      <c r="CK347" s="28"/>
      <c r="CL347" s="28"/>
      <c r="CM347" s="28"/>
      <c r="CN347" s="28"/>
      <c r="CO347" s="28"/>
      <c r="CP347" s="28"/>
      <c r="CQ347" s="28"/>
      <c r="CR347" s="28"/>
      <c r="CS347" s="28"/>
    </row>
    <row r="348" spans="81:97" x14ac:dyDescent="0.3">
      <c r="CC348" s="28"/>
      <c r="CD348" s="28"/>
      <c r="CE348" s="28"/>
      <c r="CF348" s="28"/>
      <c r="CG348" s="28"/>
      <c r="CH348" s="28"/>
      <c r="CI348" s="28"/>
      <c r="CJ348" s="28"/>
      <c r="CK348" s="28"/>
      <c r="CL348" s="28"/>
      <c r="CM348" s="28"/>
      <c r="CN348" s="28"/>
      <c r="CO348" s="28"/>
      <c r="CP348" s="28"/>
      <c r="CQ348" s="28"/>
      <c r="CR348" s="28"/>
      <c r="CS348" s="28"/>
    </row>
    <row r="349" spans="81:97" x14ac:dyDescent="0.3">
      <c r="CC349" s="28"/>
      <c r="CD349" s="28"/>
      <c r="CE349" s="28"/>
      <c r="CF349" s="28"/>
      <c r="CG349" s="28"/>
      <c r="CH349" s="28"/>
      <c r="CI349" s="28"/>
      <c r="CJ349" s="28"/>
      <c r="CK349" s="28"/>
      <c r="CL349" s="28"/>
      <c r="CM349" s="28"/>
      <c r="CN349" s="28"/>
      <c r="CO349" s="28"/>
      <c r="CP349" s="28"/>
      <c r="CQ349" s="28"/>
      <c r="CR349" s="28"/>
      <c r="CS349" s="28"/>
    </row>
    <row r="350" spans="81:97" x14ac:dyDescent="0.3">
      <c r="CC350" s="28"/>
      <c r="CD350" s="28"/>
      <c r="CE350" s="28"/>
      <c r="CF350" s="28"/>
      <c r="CG350" s="28"/>
      <c r="CH350" s="28"/>
      <c r="CI350" s="28"/>
      <c r="CJ350" s="28"/>
      <c r="CK350" s="28"/>
      <c r="CL350" s="28"/>
      <c r="CM350" s="28"/>
      <c r="CN350" s="28"/>
      <c r="CO350" s="28"/>
      <c r="CP350" s="28"/>
      <c r="CQ350" s="28"/>
      <c r="CR350" s="28"/>
      <c r="CS350" s="28"/>
    </row>
    <row r="351" spans="81:97" x14ac:dyDescent="0.3">
      <c r="CC351" s="28"/>
      <c r="CD351" s="28"/>
      <c r="CE351" s="28"/>
      <c r="CF351" s="28"/>
      <c r="CG351" s="28"/>
      <c r="CH351" s="28"/>
      <c r="CI351" s="28"/>
      <c r="CJ351" s="28"/>
      <c r="CK351" s="28"/>
      <c r="CL351" s="28"/>
      <c r="CM351" s="28"/>
      <c r="CN351" s="28"/>
      <c r="CO351" s="28"/>
      <c r="CP351" s="28"/>
      <c r="CQ351" s="28"/>
      <c r="CR351" s="28"/>
      <c r="CS351" s="28"/>
    </row>
    <row r="352" spans="81:97" x14ac:dyDescent="0.3">
      <c r="CC352" s="28"/>
      <c r="CD352" s="28"/>
      <c r="CE352" s="28"/>
      <c r="CF352" s="28"/>
      <c r="CG352" s="28"/>
      <c r="CH352" s="28"/>
      <c r="CI352" s="28"/>
      <c r="CJ352" s="28"/>
      <c r="CK352" s="28"/>
      <c r="CL352" s="28"/>
      <c r="CM352" s="28"/>
      <c r="CN352" s="28"/>
      <c r="CO352" s="28"/>
      <c r="CP352" s="28"/>
      <c r="CQ352" s="28"/>
      <c r="CR352" s="28"/>
      <c r="CS352" s="28"/>
    </row>
    <row r="353" spans="81:97" x14ac:dyDescent="0.3">
      <c r="CC353" s="28"/>
      <c r="CD353" s="28"/>
      <c r="CE353" s="28"/>
      <c r="CF353" s="28"/>
      <c r="CG353" s="28"/>
      <c r="CH353" s="28"/>
      <c r="CI353" s="28"/>
      <c r="CJ353" s="28"/>
      <c r="CK353" s="28"/>
      <c r="CL353" s="28"/>
      <c r="CM353" s="28"/>
      <c r="CN353" s="28"/>
      <c r="CO353" s="28"/>
      <c r="CP353" s="28"/>
      <c r="CQ353" s="28"/>
      <c r="CR353" s="28"/>
      <c r="CS353" s="28"/>
    </row>
    <row r="354" spans="81:97" x14ac:dyDescent="0.3">
      <c r="CC354" s="28"/>
      <c r="CD354" s="28"/>
      <c r="CE354" s="28"/>
      <c r="CF354" s="28"/>
      <c r="CG354" s="28"/>
      <c r="CH354" s="28"/>
      <c r="CI354" s="28"/>
      <c r="CJ354" s="28"/>
      <c r="CK354" s="28"/>
      <c r="CL354" s="28"/>
      <c r="CM354" s="28"/>
      <c r="CN354" s="28"/>
      <c r="CO354" s="28"/>
      <c r="CP354" s="28"/>
      <c r="CQ354" s="28"/>
      <c r="CR354" s="28"/>
      <c r="CS354" s="28"/>
    </row>
    <row r="355" spans="81:97" x14ac:dyDescent="0.3">
      <c r="CC355" s="28"/>
      <c r="CD355" s="28"/>
      <c r="CE355" s="28"/>
      <c r="CF355" s="28"/>
      <c r="CG355" s="28"/>
      <c r="CH355" s="28"/>
      <c r="CI355" s="28"/>
      <c r="CJ355" s="28"/>
      <c r="CK355" s="28"/>
      <c r="CL355" s="28"/>
      <c r="CM355" s="28"/>
      <c r="CN355" s="28"/>
      <c r="CO355" s="28"/>
      <c r="CP355" s="28"/>
      <c r="CQ355" s="28"/>
      <c r="CR355" s="28"/>
      <c r="CS355" s="28"/>
    </row>
    <row r="356" spans="81:97" x14ac:dyDescent="0.3">
      <c r="CC356" s="28"/>
      <c r="CD356" s="28"/>
      <c r="CE356" s="28"/>
      <c r="CF356" s="28"/>
      <c r="CG356" s="28"/>
      <c r="CH356" s="28"/>
      <c r="CI356" s="28"/>
      <c r="CJ356" s="28"/>
      <c r="CK356" s="28"/>
      <c r="CL356" s="28"/>
      <c r="CM356" s="28"/>
      <c r="CN356" s="28"/>
      <c r="CO356" s="28"/>
      <c r="CP356" s="28"/>
      <c r="CQ356" s="28"/>
      <c r="CR356" s="28"/>
      <c r="CS356" s="28"/>
    </row>
    <row r="357" spans="81:97" x14ac:dyDescent="0.3">
      <c r="CC357" s="28"/>
      <c r="CD357" s="28"/>
      <c r="CE357" s="28"/>
      <c r="CF357" s="28"/>
      <c r="CG357" s="28"/>
      <c r="CH357" s="28"/>
      <c r="CI357" s="28"/>
      <c r="CJ357" s="28"/>
      <c r="CK357" s="28"/>
      <c r="CL357" s="28"/>
      <c r="CM357" s="28"/>
      <c r="CN357" s="28"/>
      <c r="CO357" s="28"/>
      <c r="CP357" s="28"/>
      <c r="CQ357" s="28"/>
      <c r="CR357" s="28"/>
      <c r="CS357" s="28"/>
    </row>
    <row r="358" spans="81:97" x14ac:dyDescent="0.3">
      <c r="CC358" s="28"/>
      <c r="CD358" s="28"/>
      <c r="CE358" s="28"/>
      <c r="CF358" s="28"/>
      <c r="CG358" s="28"/>
      <c r="CH358" s="28"/>
      <c r="CI358" s="28"/>
      <c r="CJ358" s="28"/>
      <c r="CK358" s="28"/>
      <c r="CL358" s="28"/>
      <c r="CM358" s="28"/>
      <c r="CN358" s="28"/>
      <c r="CO358" s="28"/>
      <c r="CP358" s="28"/>
      <c r="CQ358" s="28"/>
      <c r="CR358" s="28"/>
      <c r="CS358" s="28"/>
    </row>
    <row r="359" spans="81:97" x14ac:dyDescent="0.3">
      <c r="CC359" s="28"/>
      <c r="CD359" s="28"/>
      <c r="CE359" s="28"/>
      <c r="CF359" s="28"/>
      <c r="CG359" s="28"/>
      <c r="CH359" s="28"/>
      <c r="CI359" s="28"/>
      <c r="CJ359" s="28"/>
      <c r="CK359" s="28"/>
      <c r="CL359" s="28"/>
      <c r="CM359" s="28"/>
      <c r="CN359" s="28"/>
      <c r="CO359" s="28"/>
      <c r="CP359" s="28"/>
      <c r="CQ359" s="28"/>
      <c r="CR359" s="28"/>
      <c r="CS359" s="28"/>
    </row>
    <row r="360" spans="81:97" x14ac:dyDescent="0.3">
      <c r="CC360" s="28"/>
      <c r="CD360" s="28"/>
      <c r="CE360" s="28"/>
      <c r="CF360" s="28"/>
      <c r="CG360" s="28"/>
      <c r="CH360" s="28"/>
      <c r="CI360" s="28"/>
      <c r="CJ360" s="28"/>
      <c r="CK360" s="28"/>
      <c r="CL360" s="28"/>
      <c r="CM360" s="28"/>
      <c r="CN360" s="28"/>
      <c r="CO360" s="28"/>
      <c r="CP360" s="28"/>
      <c r="CQ360" s="28"/>
      <c r="CR360" s="28"/>
      <c r="CS360" s="28"/>
    </row>
    <row r="361" spans="81:97" x14ac:dyDescent="0.3">
      <c r="CC361" s="28"/>
      <c r="CD361" s="28"/>
      <c r="CE361" s="28"/>
      <c r="CF361" s="28"/>
      <c r="CG361" s="28"/>
      <c r="CH361" s="28"/>
      <c r="CI361" s="28"/>
      <c r="CJ361" s="28"/>
      <c r="CK361" s="28"/>
      <c r="CL361" s="28"/>
      <c r="CM361" s="28"/>
      <c r="CN361" s="28"/>
      <c r="CO361" s="28"/>
      <c r="CP361" s="28"/>
      <c r="CQ361" s="28"/>
      <c r="CR361" s="28"/>
      <c r="CS361" s="28"/>
    </row>
    <row r="362" spans="81:97" x14ac:dyDescent="0.3">
      <c r="CC362" s="28"/>
      <c r="CD362" s="28"/>
      <c r="CE362" s="28"/>
      <c r="CF362" s="28"/>
      <c r="CG362" s="28"/>
      <c r="CH362" s="28"/>
      <c r="CI362" s="28"/>
      <c r="CJ362" s="28"/>
      <c r="CK362" s="28"/>
      <c r="CL362" s="28"/>
      <c r="CM362" s="28"/>
      <c r="CN362" s="28"/>
      <c r="CO362" s="28"/>
      <c r="CP362" s="28"/>
      <c r="CQ362" s="28"/>
      <c r="CR362" s="28"/>
      <c r="CS362" s="28"/>
    </row>
    <row r="363" spans="81:97" x14ac:dyDescent="0.3">
      <c r="CC363" s="28"/>
      <c r="CD363" s="28"/>
      <c r="CE363" s="28"/>
      <c r="CF363" s="28"/>
      <c r="CG363" s="28"/>
      <c r="CH363" s="28"/>
      <c r="CI363" s="28"/>
      <c r="CJ363" s="28"/>
      <c r="CK363" s="28"/>
      <c r="CL363" s="28"/>
      <c r="CM363" s="28"/>
      <c r="CN363" s="28"/>
      <c r="CO363" s="28"/>
      <c r="CP363" s="28"/>
      <c r="CQ363" s="28"/>
      <c r="CR363" s="28"/>
      <c r="CS363" s="28"/>
    </row>
    <row r="364" spans="81:97" x14ac:dyDescent="0.3">
      <c r="CC364" s="28"/>
      <c r="CD364" s="28"/>
      <c r="CE364" s="28"/>
      <c r="CF364" s="28"/>
      <c r="CG364" s="28"/>
      <c r="CH364" s="28"/>
      <c r="CI364" s="28"/>
      <c r="CJ364" s="28"/>
      <c r="CK364" s="28"/>
      <c r="CL364" s="28"/>
      <c r="CM364" s="28"/>
      <c r="CN364" s="28"/>
      <c r="CO364" s="28"/>
      <c r="CP364" s="28"/>
      <c r="CQ364" s="28"/>
      <c r="CR364" s="28"/>
      <c r="CS364" s="28"/>
    </row>
    <row r="365" spans="81:97" x14ac:dyDescent="0.3">
      <c r="CC365" s="28"/>
      <c r="CD365" s="28"/>
      <c r="CE365" s="28"/>
      <c r="CF365" s="28"/>
      <c r="CG365" s="28"/>
      <c r="CH365" s="28"/>
      <c r="CI365" s="28"/>
      <c r="CJ365" s="28"/>
      <c r="CK365" s="28"/>
      <c r="CL365" s="28"/>
      <c r="CM365" s="28"/>
      <c r="CN365" s="28"/>
      <c r="CO365" s="28"/>
      <c r="CP365" s="28"/>
      <c r="CQ365" s="28"/>
      <c r="CR365" s="28"/>
      <c r="CS365" s="28"/>
    </row>
    <row r="366" spans="81:97" x14ac:dyDescent="0.3">
      <c r="CC366" s="28"/>
      <c r="CD366" s="28"/>
      <c r="CE366" s="28"/>
      <c r="CF366" s="28"/>
      <c r="CG366" s="28"/>
      <c r="CH366" s="28"/>
      <c r="CI366" s="28"/>
      <c r="CJ366" s="28"/>
      <c r="CK366" s="28"/>
      <c r="CL366" s="28"/>
      <c r="CM366" s="28"/>
      <c r="CN366" s="28"/>
      <c r="CO366" s="28"/>
      <c r="CP366" s="28"/>
      <c r="CQ366" s="28"/>
      <c r="CR366" s="28"/>
      <c r="CS366" s="28"/>
    </row>
    <row r="367" spans="81:97" x14ac:dyDescent="0.3">
      <c r="CC367" s="28"/>
      <c r="CD367" s="28"/>
      <c r="CE367" s="28"/>
      <c r="CF367" s="28"/>
      <c r="CG367" s="28"/>
      <c r="CH367" s="28"/>
      <c r="CI367" s="28"/>
      <c r="CJ367" s="28"/>
      <c r="CK367" s="28"/>
      <c r="CL367" s="28"/>
      <c r="CM367" s="28"/>
      <c r="CN367" s="28"/>
      <c r="CO367" s="28"/>
      <c r="CP367" s="28"/>
      <c r="CQ367" s="28"/>
      <c r="CR367" s="28"/>
      <c r="CS367" s="28"/>
    </row>
    <row r="368" spans="81:97" x14ac:dyDescent="0.3">
      <c r="CC368" s="28"/>
      <c r="CD368" s="28"/>
      <c r="CE368" s="28"/>
      <c r="CF368" s="28"/>
      <c r="CG368" s="28"/>
      <c r="CH368" s="28"/>
      <c r="CI368" s="28"/>
      <c r="CJ368" s="28"/>
      <c r="CK368" s="28"/>
      <c r="CL368" s="28"/>
      <c r="CM368" s="28"/>
      <c r="CN368" s="28"/>
      <c r="CO368" s="28"/>
      <c r="CP368" s="28"/>
      <c r="CQ368" s="28"/>
      <c r="CR368" s="28"/>
      <c r="CS368" s="28"/>
    </row>
    <row r="369" spans="81:97" x14ac:dyDescent="0.3">
      <c r="CC369" s="28"/>
      <c r="CD369" s="28"/>
      <c r="CE369" s="28"/>
      <c r="CF369" s="28"/>
      <c r="CG369" s="28"/>
      <c r="CH369" s="28"/>
      <c r="CI369" s="28"/>
      <c r="CJ369" s="28"/>
      <c r="CK369" s="28"/>
      <c r="CL369" s="28"/>
      <c r="CM369" s="28"/>
      <c r="CN369" s="28"/>
      <c r="CO369" s="28"/>
      <c r="CP369" s="28"/>
      <c r="CQ369" s="28"/>
      <c r="CR369" s="28"/>
      <c r="CS369" s="28"/>
    </row>
    <row r="370" spans="81:97" x14ac:dyDescent="0.3">
      <c r="CC370" s="28"/>
      <c r="CD370" s="28"/>
      <c r="CE370" s="28"/>
      <c r="CF370" s="28"/>
      <c r="CG370" s="28"/>
      <c r="CH370" s="28"/>
      <c r="CI370" s="28"/>
      <c r="CJ370" s="28"/>
      <c r="CK370" s="28"/>
      <c r="CL370" s="28"/>
      <c r="CM370" s="28"/>
      <c r="CN370" s="28"/>
      <c r="CO370" s="28"/>
      <c r="CP370" s="28"/>
      <c r="CQ370" s="28"/>
      <c r="CR370" s="28"/>
      <c r="CS370" s="28"/>
    </row>
    <row r="371" spans="81:97" x14ac:dyDescent="0.3">
      <c r="CC371" s="28"/>
      <c r="CD371" s="28"/>
      <c r="CE371" s="28"/>
      <c r="CF371" s="28"/>
      <c r="CG371" s="28"/>
      <c r="CH371" s="28"/>
      <c r="CI371" s="28"/>
      <c r="CJ371" s="28"/>
      <c r="CK371" s="28"/>
      <c r="CL371" s="28"/>
      <c r="CM371" s="28"/>
      <c r="CN371" s="28"/>
      <c r="CO371" s="28"/>
      <c r="CP371" s="28"/>
      <c r="CQ371" s="28"/>
      <c r="CR371" s="28"/>
      <c r="CS371" s="28"/>
    </row>
    <row r="372" spans="81:97" x14ac:dyDescent="0.3">
      <c r="CC372" s="28"/>
      <c r="CD372" s="28"/>
      <c r="CE372" s="28"/>
      <c r="CF372" s="28"/>
      <c r="CG372" s="28"/>
      <c r="CH372" s="28"/>
      <c r="CI372" s="28"/>
      <c r="CJ372" s="28"/>
      <c r="CK372" s="28"/>
      <c r="CL372" s="28"/>
      <c r="CM372" s="28"/>
      <c r="CN372" s="28"/>
      <c r="CO372" s="28"/>
      <c r="CP372" s="28"/>
      <c r="CQ372" s="28"/>
      <c r="CR372" s="28"/>
      <c r="CS372" s="28"/>
    </row>
    <row r="373" spans="81:97" x14ac:dyDescent="0.3">
      <c r="CC373" s="28"/>
      <c r="CD373" s="28"/>
      <c r="CE373" s="28"/>
      <c r="CF373" s="28"/>
      <c r="CG373" s="28"/>
      <c r="CH373" s="28"/>
      <c r="CI373" s="28"/>
      <c r="CJ373" s="28"/>
      <c r="CK373" s="28"/>
      <c r="CL373" s="28"/>
      <c r="CM373" s="28"/>
      <c r="CN373" s="28"/>
      <c r="CO373" s="28"/>
      <c r="CP373" s="28"/>
      <c r="CQ373" s="28"/>
      <c r="CR373" s="28"/>
      <c r="CS373" s="28"/>
    </row>
    <row r="374" spans="81:97" x14ac:dyDescent="0.3">
      <c r="CC374" s="28"/>
      <c r="CD374" s="28"/>
      <c r="CE374" s="28"/>
      <c r="CF374" s="28"/>
      <c r="CG374" s="28"/>
      <c r="CH374" s="28"/>
      <c r="CI374" s="28"/>
      <c r="CJ374" s="28"/>
      <c r="CK374" s="28"/>
      <c r="CL374" s="28"/>
      <c r="CM374" s="28"/>
      <c r="CN374" s="28"/>
      <c r="CO374" s="28"/>
      <c r="CP374" s="28"/>
      <c r="CQ374" s="28"/>
      <c r="CR374" s="28"/>
      <c r="CS374" s="28"/>
    </row>
    <row r="375" spans="81:97" x14ac:dyDescent="0.3">
      <c r="CC375" s="28"/>
      <c r="CD375" s="28"/>
      <c r="CE375" s="28"/>
      <c r="CF375" s="28"/>
      <c r="CG375" s="28"/>
      <c r="CH375" s="28"/>
      <c r="CI375" s="28"/>
      <c r="CJ375" s="28"/>
      <c r="CK375" s="28"/>
      <c r="CL375" s="28"/>
      <c r="CM375" s="28"/>
      <c r="CN375" s="28"/>
      <c r="CO375" s="28"/>
      <c r="CP375" s="28"/>
      <c r="CQ375" s="28"/>
      <c r="CR375" s="28"/>
      <c r="CS375" s="28"/>
    </row>
    <row r="376" spans="81:97" x14ac:dyDescent="0.3">
      <c r="CC376" s="28"/>
      <c r="CD376" s="28"/>
      <c r="CE376" s="28"/>
      <c r="CF376" s="28"/>
      <c r="CG376" s="28"/>
      <c r="CH376" s="28"/>
      <c r="CI376" s="28"/>
      <c r="CJ376" s="28"/>
      <c r="CK376" s="28"/>
      <c r="CL376" s="28"/>
      <c r="CM376" s="28"/>
      <c r="CN376" s="28"/>
      <c r="CO376" s="28"/>
      <c r="CP376" s="28"/>
      <c r="CQ376" s="28"/>
      <c r="CR376" s="28"/>
      <c r="CS376" s="28"/>
    </row>
    <row r="377" spans="81:97" x14ac:dyDescent="0.3">
      <c r="CC377" s="28"/>
      <c r="CD377" s="28"/>
      <c r="CE377" s="28"/>
      <c r="CF377" s="28"/>
      <c r="CG377" s="28"/>
      <c r="CH377" s="28"/>
      <c r="CI377" s="28"/>
      <c r="CJ377" s="28"/>
      <c r="CK377" s="28"/>
      <c r="CL377" s="28"/>
      <c r="CM377" s="28"/>
      <c r="CN377" s="28"/>
      <c r="CO377" s="28"/>
      <c r="CP377" s="28"/>
      <c r="CQ377" s="28"/>
      <c r="CR377" s="28"/>
      <c r="CS377" s="28"/>
    </row>
    <row r="378" spans="81:97" x14ac:dyDescent="0.3">
      <c r="CC378" s="28"/>
      <c r="CD378" s="28"/>
      <c r="CE378" s="28"/>
      <c r="CF378" s="28"/>
      <c r="CG378" s="28"/>
      <c r="CH378" s="28"/>
      <c r="CI378" s="28"/>
      <c r="CJ378" s="28"/>
      <c r="CK378" s="28"/>
      <c r="CL378" s="28"/>
      <c r="CM378" s="28"/>
      <c r="CN378" s="28"/>
      <c r="CO378" s="28"/>
      <c r="CP378" s="28"/>
      <c r="CQ378" s="28"/>
      <c r="CR378" s="28"/>
      <c r="CS378" s="28"/>
    </row>
    <row r="379" spans="81:97" x14ac:dyDescent="0.3">
      <c r="CC379" s="28"/>
      <c r="CD379" s="28"/>
      <c r="CE379" s="28"/>
      <c r="CF379" s="28"/>
      <c r="CG379" s="28"/>
      <c r="CH379" s="28"/>
      <c r="CI379" s="28"/>
      <c r="CJ379" s="28"/>
      <c r="CK379" s="28"/>
      <c r="CL379" s="28"/>
      <c r="CM379" s="28"/>
      <c r="CN379" s="28"/>
      <c r="CO379" s="28"/>
      <c r="CP379" s="28"/>
      <c r="CQ379" s="28"/>
      <c r="CR379" s="28"/>
      <c r="CS379" s="28"/>
    </row>
    <row r="380" spans="81:97" x14ac:dyDescent="0.3">
      <c r="CC380" s="28"/>
      <c r="CD380" s="28"/>
      <c r="CE380" s="28"/>
      <c r="CF380" s="28"/>
      <c r="CG380" s="28"/>
      <c r="CH380" s="28"/>
      <c r="CI380" s="28"/>
      <c r="CJ380" s="28"/>
      <c r="CK380" s="28"/>
      <c r="CL380" s="28"/>
      <c r="CM380" s="28"/>
      <c r="CN380" s="28"/>
      <c r="CO380" s="28"/>
      <c r="CP380" s="28"/>
      <c r="CQ380" s="28"/>
      <c r="CR380" s="28"/>
      <c r="CS380" s="28"/>
    </row>
    <row r="381" spans="81:97" x14ac:dyDescent="0.3">
      <c r="CC381" s="28"/>
      <c r="CD381" s="28"/>
      <c r="CE381" s="28"/>
      <c r="CF381" s="28"/>
      <c r="CG381" s="28"/>
      <c r="CH381" s="28"/>
      <c r="CI381" s="28"/>
      <c r="CJ381" s="28"/>
      <c r="CK381" s="28"/>
      <c r="CL381" s="28"/>
      <c r="CM381" s="28"/>
      <c r="CN381" s="28"/>
      <c r="CO381" s="28"/>
      <c r="CP381" s="28"/>
      <c r="CQ381" s="28"/>
      <c r="CR381" s="28"/>
      <c r="CS381" s="28"/>
    </row>
    <row r="382" spans="81:97" x14ac:dyDescent="0.3">
      <c r="CC382" s="28"/>
      <c r="CD382" s="28"/>
      <c r="CE382" s="28"/>
      <c r="CF382" s="28"/>
      <c r="CG382" s="28"/>
      <c r="CH382" s="28"/>
      <c r="CI382" s="28"/>
      <c r="CJ382" s="28"/>
      <c r="CK382" s="28"/>
      <c r="CL382" s="28"/>
      <c r="CM382" s="28"/>
      <c r="CN382" s="28"/>
      <c r="CO382" s="28"/>
      <c r="CP382" s="28"/>
      <c r="CQ382" s="28"/>
      <c r="CR382" s="28"/>
      <c r="CS382" s="28"/>
    </row>
    <row r="383" spans="81:97" x14ac:dyDescent="0.3">
      <c r="CC383" s="28"/>
      <c r="CD383" s="28"/>
      <c r="CE383" s="28"/>
      <c r="CF383" s="28"/>
      <c r="CG383" s="28"/>
      <c r="CH383" s="28"/>
      <c r="CI383" s="28"/>
      <c r="CJ383" s="28"/>
      <c r="CK383" s="28"/>
      <c r="CL383" s="28"/>
      <c r="CM383" s="28"/>
      <c r="CN383" s="28"/>
      <c r="CO383" s="28"/>
      <c r="CP383" s="28"/>
      <c r="CQ383" s="28"/>
      <c r="CR383" s="28"/>
      <c r="CS383" s="28"/>
    </row>
    <row r="384" spans="81:97" x14ac:dyDescent="0.3">
      <c r="CC384" s="28"/>
      <c r="CD384" s="28"/>
      <c r="CE384" s="28"/>
      <c r="CF384" s="28"/>
      <c r="CG384" s="28"/>
      <c r="CH384" s="28"/>
      <c r="CI384" s="28"/>
      <c r="CJ384" s="28"/>
      <c r="CK384" s="28"/>
      <c r="CL384" s="28"/>
      <c r="CM384" s="28"/>
      <c r="CN384" s="28"/>
      <c r="CO384" s="28"/>
      <c r="CP384" s="28"/>
      <c r="CQ384" s="28"/>
      <c r="CR384" s="28"/>
      <c r="CS384" s="28"/>
    </row>
    <row r="385" spans="81:97" x14ac:dyDescent="0.3">
      <c r="CC385" s="28"/>
      <c r="CD385" s="28"/>
      <c r="CE385" s="28"/>
      <c r="CF385" s="28"/>
      <c r="CG385" s="28"/>
      <c r="CH385" s="28"/>
      <c r="CI385" s="28"/>
      <c r="CJ385" s="28"/>
      <c r="CK385" s="28"/>
      <c r="CL385" s="28"/>
      <c r="CM385" s="28"/>
      <c r="CN385" s="28"/>
      <c r="CO385" s="28"/>
      <c r="CP385" s="28"/>
      <c r="CQ385" s="28"/>
      <c r="CR385" s="28"/>
      <c r="CS385" s="28"/>
    </row>
    <row r="386" spans="81:97" x14ac:dyDescent="0.3">
      <c r="CC386" s="28"/>
      <c r="CD386" s="28"/>
      <c r="CE386" s="28"/>
      <c r="CF386" s="28"/>
      <c r="CG386" s="28"/>
      <c r="CH386" s="28"/>
      <c r="CI386" s="28"/>
      <c r="CJ386" s="28"/>
      <c r="CK386" s="28"/>
      <c r="CL386" s="28"/>
      <c r="CM386" s="28"/>
      <c r="CN386" s="28"/>
      <c r="CO386" s="28"/>
      <c r="CP386" s="28"/>
      <c r="CQ386" s="28"/>
      <c r="CR386" s="28"/>
      <c r="CS386" s="28"/>
    </row>
    <row r="387" spans="81:97" x14ac:dyDescent="0.3">
      <c r="CC387" s="28"/>
      <c r="CD387" s="28"/>
      <c r="CE387" s="28"/>
      <c r="CF387" s="28"/>
      <c r="CG387" s="28"/>
      <c r="CH387" s="28"/>
      <c r="CI387" s="28"/>
      <c r="CJ387" s="28"/>
      <c r="CK387" s="28"/>
      <c r="CL387" s="28"/>
      <c r="CM387" s="28"/>
      <c r="CN387" s="28"/>
      <c r="CO387" s="28"/>
      <c r="CP387" s="28"/>
      <c r="CQ387" s="28"/>
      <c r="CR387" s="28"/>
      <c r="CS387" s="28"/>
    </row>
    <row r="388" spans="81:97" x14ac:dyDescent="0.3">
      <c r="CC388" s="28"/>
      <c r="CD388" s="28"/>
      <c r="CE388" s="28"/>
      <c r="CF388" s="28"/>
      <c r="CG388" s="28"/>
      <c r="CH388" s="28"/>
      <c r="CI388" s="28"/>
      <c r="CJ388" s="28"/>
      <c r="CK388" s="28"/>
      <c r="CL388" s="28"/>
      <c r="CM388" s="28"/>
      <c r="CN388" s="28"/>
      <c r="CO388" s="28"/>
      <c r="CP388" s="28"/>
      <c r="CQ388" s="28"/>
      <c r="CR388" s="28"/>
      <c r="CS388" s="28"/>
    </row>
    <row r="389" spans="81:97" x14ac:dyDescent="0.3">
      <c r="CC389" s="28"/>
      <c r="CD389" s="28"/>
      <c r="CE389" s="28"/>
      <c r="CF389" s="28"/>
      <c r="CG389" s="28"/>
      <c r="CH389" s="28"/>
      <c r="CI389" s="28"/>
      <c r="CJ389" s="28"/>
      <c r="CK389" s="28"/>
      <c r="CL389" s="28"/>
      <c r="CM389" s="28"/>
      <c r="CN389" s="28"/>
      <c r="CO389" s="28"/>
      <c r="CP389" s="28"/>
      <c r="CQ389" s="28"/>
      <c r="CR389" s="28"/>
      <c r="CS389" s="28"/>
    </row>
    <row r="390" spans="81:97" x14ac:dyDescent="0.3">
      <c r="CC390" s="28"/>
      <c r="CD390" s="28"/>
      <c r="CE390" s="28"/>
      <c r="CF390" s="28"/>
      <c r="CG390" s="28"/>
      <c r="CH390" s="28"/>
      <c r="CI390" s="28"/>
      <c r="CJ390" s="28"/>
      <c r="CK390" s="28"/>
      <c r="CL390" s="28"/>
      <c r="CM390" s="28"/>
      <c r="CN390" s="28"/>
      <c r="CO390" s="28"/>
      <c r="CP390" s="28"/>
      <c r="CQ390" s="28"/>
      <c r="CR390" s="28"/>
      <c r="CS390" s="28"/>
    </row>
    <row r="391" spans="81:97" x14ac:dyDescent="0.3">
      <c r="CC391" s="28"/>
      <c r="CD391" s="28"/>
      <c r="CE391" s="28"/>
      <c r="CF391" s="28"/>
      <c r="CG391" s="28"/>
      <c r="CH391" s="28"/>
      <c r="CI391" s="28"/>
      <c r="CJ391" s="28"/>
      <c r="CK391" s="28"/>
      <c r="CL391" s="28"/>
      <c r="CM391" s="28"/>
      <c r="CN391" s="28"/>
      <c r="CO391" s="28"/>
      <c r="CP391" s="28"/>
      <c r="CQ391" s="28"/>
      <c r="CR391" s="28"/>
      <c r="CS391" s="28"/>
    </row>
    <row r="392" spans="81:97" x14ac:dyDescent="0.3">
      <c r="CC392" s="28"/>
      <c r="CD392" s="28"/>
      <c r="CE392" s="28"/>
      <c r="CF392" s="28"/>
      <c r="CG392" s="28"/>
      <c r="CH392" s="28"/>
      <c r="CI392" s="28"/>
      <c r="CJ392" s="28"/>
      <c r="CK392" s="28"/>
      <c r="CL392" s="28"/>
      <c r="CM392" s="28"/>
      <c r="CN392" s="28"/>
      <c r="CO392" s="28"/>
      <c r="CP392" s="28"/>
      <c r="CQ392" s="28"/>
      <c r="CR392" s="28"/>
      <c r="CS392" s="28"/>
    </row>
    <row r="393" spans="81:97" x14ac:dyDescent="0.3">
      <c r="CC393" s="28"/>
      <c r="CD393" s="28"/>
      <c r="CE393" s="28"/>
      <c r="CF393" s="28"/>
      <c r="CG393" s="28"/>
      <c r="CH393" s="28"/>
      <c r="CI393" s="28"/>
      <c r="CJ393" s="28"/>
      <c r="CK393" s="28"/>
      <c r="CL393" s="28"/>
      <c r="CM393" s="28"/>
      <c r="CN393" s="28"/>
      <c r="CO393" s="28"/>
      <c r="CP393" s="28"/>
      <c r="CQ393" s="28"/>
      <c r="CR393" s="28"/>
      <c r="CS393" s="28"/>
    </row>
    <row r="394" spans="81:97" x14ac:dyDescent="0.3">
      <c r="CC394" s="28"/>
      <c r="CD394" s="28"/>
      <c r="CE394" s="28"/>
      <c r="CF394" s="28"/>
      <c r="CG394" s="28"/>
      <c r="CH394" s="28"/>
      <c r="CI394" s="28"/>
      <c r="CJ394" s="28"/>
      <c r="CK394" s="28"/>
      <c r="CL394" s="28"/>
      <c r="CM394" s="28"/>
      <c r="CN394" s="28"/>
      <c r="CO394" s="28"/>
      <c r="CP394" s="28"/>
      <c r="CQ394" s="28"/>
      <c r="CR394" s="28"/>
      <c r="CS394" s="28"/>
    </row>
    <row r="395" spans="81:97" x14ac:dyDescent="0.3">
      <c r="CC395" s="28"/>
      <c r="CD395" s="28"/>
      <c r="CE395" s="28"/>
      <c r="CF395" s="28"/>
      <c r="CG395" s="28"/>
      <c r="CH395" s="28"/>
      <c r="CI395" s="28"/>
      <c r="CJ395" s="28"/>
      <c r="CK395" s="28"/>
      <c r="CL395" s="28"/>
      <c r="CM395" s="28"/>
      <c r="CN395" s="28"/>
      <c r="CO395" s="28"/>
      <c r="CP395" s="28"/>
      <c r="CQ395" s="28"/>
      <c r="CR395" s="28"/>
      <c r="CS395" s="28"/>
    </row>
    <row r="396" spans="81:97" x14ac:dyDescent="0.3">
      <c r="CC396" s="28"/>
      <c r="CD396" s="28"/>
      <c r="CE396" s="28"/>
      <c r="CF396" s="28"/>
      <c r="CG396" s="28"/>
      <c r="CH396" s="28"/>
      <c r="CI396" s="28"/>
      <c r="CJ396" s="28"/>
      <c r="CK396" s="28"/>
      <c r="CL396" s="28"/>
      <c r="CM396" s="28"/>
      <c r="CN396" s="28"/>
      <c r="CO396" s="28"/>
      <c r="CP396" s="28"/>
      <c r="CQ396" s="28"/>
      <c r="CR396" s="28"/>
      <c r="CS396" s="28"/>
    </row>
    <row r="397" spans="81:97" x14ac:dyDescent="0.3">
      <c r="CC397" s="28"/>
      <c r="CD397" s="28"/>
      <c r="CE397" s="28"/>
      <c r="CF397" s="28"/>
      <c r="CG397" s="28"/>
      <c r="CH397" s="28"/>
      <c r="CI397" s="28"/>
      <c r="CJ397" s="28"/>
      <c r="CK397" s="28"/>
      <c r="CL397" s="28"/>
      <c r="CM397" s="28"/>
      <c r="CN397" s="28"/>
      <c r="CO397" s="28"/>
      <c r="CP397" s="28"/>
      <c r="CQ397" s="28"/>
      <c r="CR397" s="28"/>
      <c r="CS397" s="28"/>
    </row>
    <row r="398" spans="81:97" x14ac:dyDescent="0.3">
      <c r="CC398" s="28"/>
      <c r="CD398" s="28"/>
      <c r="CE398" s="28"/>
      <c r="CF398" s="28"/>
      <c r="CG398" s="28"/>
      <c r="CH398" s="28"/>
      <c r="CI398" s="28"/>
      <c r="CJ398" s="28"/>
      <c r="CK398" s="28"/>
      <c r="CL398" s="28"/>
      <c r="CM398" s="28"/>
      <c r="CN398" s="28"/>
      <c r="CO398" s="28"/>
      <c r="CP398" s="28"/>
      <c r="CQ398" s="28"/>
      <c r="CR398" s="28"/>
      <c r="CS398" s="28"/>
    </row>
    <row r="399" spans="81:97" x14ac:dyDescent="0.3">
      <c r="CC399" s="28"/>
      <c r="CD399" s="28"/>
      <c r="CE399" s="28"/>
      <c r="CF399" s="28"/>
      <c r="CG399" s="28"/>
      <c r="CH399" s="28"/>
      <c r="CI399" s="28"/>
      <c r="CJ399" s="28"/>
      <c r="CK399" s="28"/>
      <c r="CL399" s="28"/>
      <c r="CM399" s="28"/>
      <c r="CN399" s="28"/>
      <c r="CO399" s="28"/>
      <c r="CP399" s="28"/>
      <c r="CQ399" s="28"/>
      <c r="CR399" s="28"/>
      <c r="CS399" s="28"/>
    </row>
    <row r="400" spans="81:97" x14ac:dyDescent="0.3">
      <c r="CC400" s="28"/>
      <c r="CD400" s="28"/>
      <c r="CE400" s="28"/>
      <c r="CF400" s="28"/>
      <c r="CG400" s="28"/>
      <c r="CH400" s="28"/>
      <c r="CI400" s="28"/>
      <c r="CJ400" s="28"/>
      <c r="CK400" s="28"/>
      <c r="CL400" s="28"/>
      <c r="CM400" s="28"/>
      <c r="CN400" s="28"/>
      <c r="CO400" s="28"/>
      <c r="CP400" s="28"/>
      <c r="CQ400" s="28"/>
      <c r="CR400" s="28"/>
      <c r="CS400" s="28"/>
    </row>
    <row r="401" spans="81:97" x14ac:dyDescent="0.3">
      <c r="CC401" s="28"/>
      <c r="CD401" s="28"/>
      <c r="CE401" s="28"/>
      <c r="CF401" s="28"/>
      <c r="CG401" s="28"/>
      <c r="CH401" s="28"/>
      <c r="CI401" s="28"/>
      <c r="CJ401" s="28"/>
      <c r="CK401" s="28"/>
      <c r="CL401" s="28"/>
      <c r="CM401" s="28"/>
      <c r="CN401" s="28"/>
      <c r="CO401" s="28"/>
      <c r="CP401" s="28"/>
      <c r="CQ401" s="28"/>
      <c r="CR401" s="28"/>
      <c r="CS401" s="28"/>
    </row>
    <row r="402" spans="81:97" x14ac:dyDescent="0.3">
      <c r="CC402" s="28"/>
      <c r="CD402" s="28"/>
      <c r="CE402" s="28"/>
      <c r="CF402" s="28"/>
      <c r="CG402" s="28"/>
      <c r="CH402" s="28"/>
      <c r="CI402" s="28"/>
      <c r="CJ402" s="28"/>
      <c r="CK402" s="28"/>
      <c r="CL402" s="28"/>
      <c r="CM402" s="28"/>
      <c r="CN402" s="28"/>
      <c r="CO402" s="28"/>
      <c r="CP402" s="28"/>
      <c r="CQ402" s="28"/>
      <c r="CR402" s="28"/>
      <c r="CS402" s="28"/>
    </row>
    <row r="403" spans="81:97" x14ac:dyDescent="0.3">
      <c r="CC403" s="28"/>
      <c r="CD403" s="28"/>
      <c r="CE403" s="28"/>
      <c r="CF403" s="28"/>
      <c r="CG403" s="28"/>
      <c r="CH403" s="28"/>
      <c r="CI403" s="28"/>
      <c r="CJ403" s="28"/>
      <c r="CK403" s="28"/>
      <c r="CL403" s="28"/>
      <c r="CM403" s="28"/>
      <c r="CN403" s="28"/>
      <c r="CO403" s="28"/>
      <c r="CP403" s="28"/>
      <c r="CQ403" s="28"/>
      <c r="CR403" s="28"/>
      <c r="CS403" s="28"/>
    </row>
    <row r="404" spans="81:97" x14ac:dyDescent="0.3">
      <c r="CC404" s="28"/>
      <c r="CD404" s="28"/>
      <c r="CE404" s="28"/>
      <c r="CF404" s="28"/>
      <c r="CG404" s="28"/>
      <c r="CH404" s="28"/>
      <c r="CI404" s="28"/>
      <c r="CJ404" s="28"/>
      <c r="CK404" s="28"/>
      <c r="CL404" s="28"/>
      <c r="CM404" s="28"/>
      <c r="CN404" s="28"/>
      <c r="CO404" s="28"/>
      <c r="CP404" s="28"/>
      <c r="CQ404" s="28"/>
      <c r="CR404" s="28"/>
      <c r="CS404" s="28"/>
    </row>
    <row r="405" spans="81:97" x14ac:dyDescent="0.3">
      <c r="CC405" s="28"/>
      <c r="CD405" s="28"/>
      <c r="CE405" s="28"/>
      <c r="CF405" s="28"/>
      <c r="CG405" s="28"/>
      <c r="CH405" s="28"/>
      <c r="CI405" s="28"/>
      <c r="CJ405" s="28"/>
      <c r="CK405" s="28"/>
      <c r="CL405" s="28"/>
      <c r="CM405" s="28"/>
      <c r="CN405" s="28"/>
      <c r="CO405" s="28"/>
      <c r="CP405" s="28"/>
      <c r="CQ405" s="28"/>
      <c r="CR405" s="28"/>
      <c r="CS405" s="28"/>
    </row>
    <row r="406" spans="81:97" x14ac:dyDescent="0.3">
      <c r="CC406" s="28"/>
      <c r="CD406" s="28"/>
      <c r="CE406" s="28"/>
      <c r="CF406" s="28"/>
      <c r="CG406" s="28"/>
      <c r="CH406" s="28"/>
      <c r="CI406" s="28"/>
      <c r="CJ406" s="28"/>
      <c r="CK406" s="28"/>
      <c r="CL406" s="28"/>
      <c r="CM406" s="28"/>
      <c r="CN406" s="28"/>
      <c r="CO406" s="28"/>
      <c r="CP406" s="28"/>
      <c r="CQ406" s="28"/>
      <c r="CR406" s="28"/>
      <c r="CS406" s="28"/>
    </row>
    <row r="407" spans="81:97" x14ac:dyDescent="0.3">
      <c r="CC407" s="28"/>
      <c r="CD407" s="28"/>
      <c r="CE407" s="28"/>
      <c r="CF407" s="28"/>
      <c r="CG407" s="28"/>
      <c r="CH407" s="28"/>
      <c r="CI407" s="28"/>
      <c r="CJ407" s="28"/>
      <c r="CK407" s="28"/>
      <c r="CL407" s="28"/>
      <c r="CM407" s="28"/>
      <c r="CN407" s="28"/>
      <c r="CO407" s="28"/>
      <c r="CP407" s="28"/>
      <c r="CQ407" s="28"/>
      <c r="CR407" s="28"/>
      <c r="CS407" s="28"/>
    </row>
    <row r="408" spans="81:97" x14ac:dyDescent="0.3">
      <c r="CC408" s="28"/>
      <c r="CD408" s="28"/>
      <c r="CE408" s="28"/>
      <c r="CF408" s="28"/>
      <c r="CG408" s="28"/>
      <c r="CH408" s="28"/>
      <c r="CI408" s="28"/>
      <c r="CJ408" s="28"/>
      <c r="CK408" s="28"/>
      <c r="CL408" s="28"/>
      <c r="CM408" s="28"/>
      <c r="CN408" s="28"/>
      <c r="CO408" s="28"/>
      <c r="CP408" s="28"/>
      <c r="CQ408" s="28"/>
      <c r="CR408" s="28"/>
      <c r="CS408" s="28"/>
    </row>
    <row r="409" spans="81:97" x14ac:dyDescent="0.3">
      <c r="CC409" s="28"/>
      <c r="CD409" s="28"/>
      <c r="CE409" s="28"/>
      <c r="CF409" s="28"/>
      <c r="CG409" s="28"/>
      <c r="CH409" s="28"/>
      <c r="CI409" s="28"/>
      <c r="CJ409" s="28"/>
      <c r="CK409" s="28"/>
      <c r="CL409" s="28"/>
      <c r="CM409" s="28"/>
      <c r="CN409" s="28"/>
      <c r="CO409" s="28"/>
      <c r="CP409" s="28"/>
      <c r="CQ409" s="28"/>
      <c r="CR409" s="28"/>
      <c r="CS409" s="28"/>
    </row>
    <row r="410" spans="81:97" x14ac:dyDescent="0.3">
      <c r="CC410" s="28"/>
      <c r="CD410" s="28"/>
      <c r="CE410" s="28"/>
      <c r="CF410" s="28"/>
      <c r="CG410" s="28"/>
      <c r="CH410" s="28"/>
      <c r="CI410" s="28"/>
      <c r="CJ410" s="28"/>
      <c r="CK410" s="28"/>
      <c r="CL410" s="28"/>
      <c r="CM410" s="28"/>
      <c r="CN410" s="28"/>
      <c r="CO410" s="28"/>
      <c r="CP410" s="28"/>
      <c r="CQ410" s="28"/>
      <c r="CR410" s="28"/>
      <c r="CS410" s="28"/>
    </row>
    <row r="411" spans="81:97" x14ac:dyDescent="0.3">
      <c r="CC411" s="28"/>
      <c r="CD411" s="28"/>
      <c r="CE411" s="28"/>
      <c r="CF411" s="28"/>
      <c r="CG411" s="28"/>
      <c r="CH411" s="28"/>
      <c r="CI411" s="28"/>
      <c r="CJ411" s="28"/>
      <c r="CK411" s="28"/>
      <c r="CL411" s="28"/>
      <c r="CM411" s="28"/>
      <c r="CN411" s="28"/>
      <c r="CO411" s="28"/>
      <c r="CP411" s="28"/>
      <c r="CQ411" s="28"/>
      <c r="CR411" s="28"/>
      <c r="CS411" s="28"/>
    </row>
    <row r="412" spans="81:97" x14ac:dyDescent="0.3">
      <c r="CC412" s="28"/>
      <c r="CD412" s="28"/>
      <c r="CE412" s="28"/>
      <c r="CF412" s="28"/>
      <c r="CG412" s="28"/>
      <c r="CH412" s="28"/>
      <c r="CI412" s="28"/>
      <c r="CJ412" s="28"/>
      <c r="CK412" s="28"/>
      <c r="CL412" s="28"/>
      <c r="CM412" s="28"/>
      <c r="CN412" s="28"/>
      <c r="CO412" s="28"/>
      <c r="CP412" s="28"/>
      <c r="CQ412" s="28"/>
      <c r="CR412" s="28"/>
      <c r="CS412" s="28"/>
    </row>
    <row r="413" spans="81:97" x14ac:dyDescent="0.3">
      <c r="CC413" s="28"/>
      <c r="CD413" s="28"/>
      <c r="CE413" s="28"/>
      <c r="CF413" s="28"/>
      <c r="CG413" s="28"/>
      <c r="CH413" s="28"/>
      <c r="CI413" s="28"/>
      <c r="CJ413" s="28"/>
      <c r="CK413" s="28"/>
      <c r="CL413" s="28"/>
      <c r="CM413" s="28"/>
      <c r="CN413" s="28"/>
      <c r="CO413" s="28"/>
      <c r="CP413" s="28"/>
      <c r="CQ413" s="28"/>
      <c r="CR413" s="28"/>
      <c r="CS413" s="28"/>
    </row>
    <row r="414" spans="81:97" x14ac:dyDescent="0.3">
      <c r="CC414" s="28"/>
      <c r="CD414" s="28"/>
      <c r="CE414" s="28"/>
      <c r="CF414" s="28"/>
      <c r="CG414" s="28"/>
      <c r="CH414" s="28"/>
      <c r="CI414" s="28"/>
      <c r="CJ414" s="28"/>
      <c r="CK414" s="28"/>
      <c r="CL414" s="28"/>
      <c r="CM414" s="28"/>
      <c r="CN414" s="28"/>
      <c r="CO414" s="28"/>
      <c r="CP414" s="28"/>
      <c r="CQ414" s="28"/>
      <c r="CR414" s="28"/>
      <c r="CS414" s="28"/>
    </row>
    <row r="415" spans="81:97" x14ac:dyDescent="0.3">
      <c r="CC415" s="28"/>
      <c r="CD415" s="28"/>
      <c r="CE415" s="28"/>
      <c r="CF415" s="28"/>
      <c r="CG415" s="28"/>
      <c r="CH415" s="28"/>
      <c r="CI415" s="28"/>
      <c r="CJ415" s="28"/>
      <c r="CK415" s="28"/>
      <c r="CL415" s="28"/>
      <c r="CM415" s="28"/>
      <c r="CN415" s="28"/>
      <c r="CO415" s="28"/>
      <c r="CP415" s="28"/>
      <c r="CQ415" s="28"/>
      <c r="CR415" s="28"/>
      <c r="CS415" s="28"/>
    </row>
    <row r="416" spans="81:97" x14ac:dyDescent="0.3">
      <c r="CC416" s="28"/>
      <c r="CD416" s="28"/>
      <c r="CE416" s="28"/>
      <c r="CF416" s="28"/>
      <c r="CG416" s="28"/>
      <c r="CH416" s="28"/>
      <c r="CI416" s="28"/>
      <c r="CJ416" s="28"/>
      <c r="CK416" s="28"/>
      <c r="CL416" s="28"/>
      <c r="CM416" s="28"/>
      <c r="CN416" s="28"/>
      <c r="CO416" s="28"/>
      <c r="CP416" s="28"/>
      <c r="CQ416" s="28"/>
      <c r="CR416" s="28"/>
      <c r="CS416" s="28"/>
    </row>
    <row r="417" spans="81:97" x14ac:dyDescent="0.3">
      <c r="CC417" s="28"/>
      <c r="CD417" s="28"/>
      <c r="CE417" s="28"/>
      <c r="CF417" s="28"/>
      <c r="CG417" s="28"/>
      <c r="CH417" s="28"/>
      <c r="CI417" s="28"/>
      <c r="CJ417" s="28"/>
      <c r="CK417" s="28"/>
      <c r="CL417" s="28"/>
      <c r="CM417" s="28"/>
      <c r="CN417" s="28"/>
      <c r="CO417" s="28"/>
      <c r="CP417" s="28"/>
      <c r="CQ417" s="28"/>
      <c r="CR417" s="28"/>
      <c r="CS417" s="28"/>
    </row>
    <row r="418" spans="81:97" x14ac:dyDescent="0.3">
      <c r="CC418" s="28"/>
      <c r="CD418" s="28"/>
      <c r="CE418" s="28"/>
      <c r="CF418" s="28"/>
      <c r="CG418" s="28"/>
      <c r="CH418" s="28"/>
      <c r="CI418" s="28"/>
      <c r="CJ418" s="28"/>
      <c r="CK418" s="28"/>
      <c r="CL418" s="28"/>
      <c r="CM418" s="28"/>
      <c r="CN418" s="28"/>
      <c r="CO418" s="28"/>
      <c r="CP418" s="28"/>
      <c r="CQ418" s="28"/>
      <c r="CR418" s="28"/>
      <c r="CS418" s="28"/>
    </row>
    <row r="419" spans="81:97" x14ac:dyDescent="0.3">
      <c r="CC419" s="28"/>
      <c r="CD419" s="28"/>
      <c r="CE419" s="28"/>
      <c r="CF419" s="28"/>
      <c r="CG419" s="28"/>
      <c r="CH419" s="28"/>
      <c r="CI419" s="28"/>
      <c r="CJ419" s="28"/>
      <c r="CK419" s="28"/>
      <c r="CL419" s="28"/>
      <c r="CM419" s="28"/>
      <c r="CN419" s="28"/>
      <c r="CO419" s="28"/>
      <c r="CP419" s="28"/>
      <c r="CQ419" s="28"/>
      <c r="CR419" s="28"/>
      <c r="CS419" s="28"/>
    </row>
    <row r="420" spans="81:97" x14ac:dyDescent="0.3">
      <c r="CC420" s="28"/>
      <c r="CD420" s="28"/>
      <c r="CE420" s="28"/>
      <c r="CF420" s="28"/>
      <c r="CG420" s="28"/>
      <c r="CH420" s="28"/>
      <c r="CI420" s="28"/>
      <c r="CJ420" s="28"/>
      <c r="CK420" s="28"/>
      <c r="CL420" s="28"/>
      <c r="CM420" s="28"/>
      <c r="CN420" s="28"/>
      <c r="CO420" s="28"/>
      <c r="CP420" s="28"/>
      <c r="CQ420" s="28"/>
      <c r="CR420" s="28"/>
      <c r="CS420" s="28"/>
    </row>
    <row r="421" spans="81:97" x14ac:dyDescent="0.3">
      <c r="CC421" s="28"/>
      <c r="CD421" s="28"/>
      <c r="CE421" s="28"/>
      <c r="CF421" s="28"/>
      <c r="CG421" s="28"/>
      <c r="CH421" s="28"/>
      <c r="CI421" s="28"/>
      <c r="CJ421" s="28"/>
      <c r="CK421" s="28"/>
      <c r="CL421" s="28"/>
      <c r="CM421" s="28"/>
      <c r="CN421" s="28"/>
      <c r="CO421" s="28"/>
      <c r="CP421" s="28"/>
      <c r="CQ421" s="28"/>
      <c r="CR421" s="28"/>
      <c r="CS421" s="28"/>
    </row>
    <row r="422" spans="81:97" x14ac:dyDescent="0.3">
      <c r="CC422" s="28"/>
      <c r="CD422" s="28"/>
      <c r="CE422" s="28"/>
      <c r="CF422" s="28"/>
      <c r="CG422" s="28"/>
      <c r="CH422" s="28"/>
      <c r="CI422" s="28"/>
      <c r="CJ422" s="28"/>
      <c r="CK422" s="28"/>
      <c r="CL422" s="28"/>
      <c r="CM422" s="28"/>
      <c r="CN422" s="28"/>
      <c r="CO422" s="28"/>
      <c r="CP422" s="28"/>
      <c r="CQ422" s="28"/>
      <c r="CR422" s="28"/>
      <c r="CS422" s="28"/>
    </row>
    <row r="423" spans="81:97" x14ac:dyDescent="0.3">
      <c r="CC423" s="28"/>
      <c r="CD423" s="28"/>
      <c r="CE423" s="28"/>
      <c r="CF423" s="28"/>
      <c r="CG423" s="28"/>
      <c r="CH423" s="28"/>
      <c r="CI423" s="28"/>
      <c r="CJ423" s="28"/>
      <c r="CK423" s="28"/>
      <c r="CL423" s="28"/>
      <c r="CM423" s="28"/>
      <c r="CN423" s="28"/>
      <c r="CO423" s="28"/>
      <c r="CP423" s="28"/>
      <c r="CQ423" s="28"/>
      <c r="CR423" s="28"/>
      <c r="CS423" s="28"/>
    </row>
    <row r="424" spans="81:97" x14ac:dyDescent="0.3">
      <c r="CC424" s="28"/>
      <c r="CD424" s="28"/>
      <c r="CE424" s="28"/>
      <c r="CF424" s="28"/>
      <c r="CG424" s="28"/>
      <c r="CH424" s="28"/>
      <c r="CI424" s="28"/>
      <c r="CJ424" s="28"/>
      <c r="CK424" s="28"/>
      <c r="CL424" s="28"/>
      <c r="CM424" s="28"/>
      <c r="CN424" s="28"/>
      <c r="CO424" s="28"/>
      <c r="CP424" s="28"/>
      <c r="CQ424" s="28"/>
      <c r="CR424" s="28"/>
      <c r="CS424" s="28"/>
    </row>
    <row r="425" spans="81:97" x14ac:dyDescent="0.3">
      <c r="CC425" s="28"/>
      <c r="CD425" s="28"/>
      <c r="CE425" s="28"/>
      <c r="CF425" s="28"/>
      <c r="CG425" s="28"/>
      <c r="CH425" s="28"/>
      <c r="CI425" s="28"/>
      <c r="CJ425" s="28"/>
      <c r="CK425" s="28"/>
      <c r="CL425" s="28"/>
      <c r="CM425" s="28"/>
      <c r="CN425" s="28"/>
      <c r="CO425" s="28"/>
      <c r="CP425" s="28"/>
      <c r="CQ425" s="28"/>
      <c r="CR425" s="28"/>
      <c r="CS425" s="28"/>
    </row>
    <row r="426" spans="81:97" x14ac:dyDescent="0.3">
      <c r="CC426" s="28"/>
      <c r="CD426" s="28"/>
      <c r="CE426" s="28"/>
      <c r="CF426" s="28"/>
      <c r="CG426" s="28"/>
      <c r="CH426" s="28"/>
      <c r="CI426" s="28"/>
      <c r="CJ426" s="28"/>
      <c r="CK426" s="28"/>
      <c r="CL426" s="28"/>
      <c r="CM426" s="28"/>
      <c r="CN426" s="28"/>
      <c r="CO426" s="28"/>
      <c r="CP426" s="28"/>
      <c r="CQ426" s="28"/>
      <c r="CR426" s="28"/>
      <c r="CS426" s="28"/>
    </row>
    <row r="427" spans="81:97" x14ac:dyDescent="0.3">
      <c r="CC427" s="28"/>
      <c r="CD427" s="28"/>
      <c r="CE427" s="28"/>
      <c r="CF427" s="28"/>
      <c r="CG427" s="28"/>
      <c r="CH427" s="28"/>
      <c r="CI427" s="28"/>
      <c r="CJ427" s="28"/>
      <c r="CK427" s="28"/>
      <c r="CL427" s="28"/>
      <c r="CM427" s="28"/>
      <c r="CN427" s="28"/>
      <c r="CO427" s="28"/>
      <c r="CP427" s="28"/>
      <c r="CQ427" s="28"/>
      <c r="CR427" s="28"/>
      <c r="CS427" s="28"/>
    </row>
    <row r="428" spans="81:97" x14ac:dyDescent="0.3">
      <c r="CC428" s="28"/>
      <c r="CD428" s="28"/>
      <c r="CE428" s="28"/>
      <c r="CF428" s="28"/>
      <c r="CG428" s="28"/>
      <c r="CH428" s="28"/>
      <c r="CI428" s="28"/>
      <c r="CJ428" s="28"/>
      <c r="CK428" s="28"/>
      <c r="CL428" s="28"/>
      <c r="CM428" s="28"/>
      <c r="CN428" s="28"/>
      <c r="CO428" s="28"/>
      <c r="CP428" s="28"/>
      <c r="CQ428" s="28"/>
      <c r="CR428" s="28"/>
      <c r="CS428" s="28"/>
    </row>
    <row r="429" spans="81:97" x14ac:dyDescent="0.3">
      <c r="CC429" s="28"/>
      <c r="CD429" s="28"/>
      <c r="CE429" s="28"/>
      <c r="CF429" s="28"/>
      <c r="CG429" s="28"/>
      <c r="CH429" s="28"/>
      <c r="CI429" s="28"/>
      <c r="CJ429" s="28"/>
      <c r="CK429" s="28"/>
      <c r="CL429" s="28"/>
      <c r="CM429" s="28"/>
      <c r="CN429" s="28"/>
      <c r="CO429" s="28"/>
      <c r="CP429" s="28"/>
      <c r="CQ429" s="28"/>
      <c r="CR429" s="28"/>
      <c r="CS429" s="28"/>
    </row>
    <row r="430" spans="81:97" x14ac:dyDescent="0.3">
      <c r="CC430" s="28"/>
      <c r="CD430" s="28"/>
      <c r="CE430" s="28"/>
      <c r="CF430" s="28"/>
      <c r="CG430" s="28"/>
      <c r="CH430" s="28"/>
      <c r="CI430" s="28"/>
      <c r="CJ430" s="28"/>
      <c r="CK430" s="28"/>
      <c r="CL430" s="28"/>
      <c r="CM430" s="28"/>
      <c r="CN430" s="28"/>
      <c r="CO430" s="28"/>
      <c r="CP430" s="28"/>
      <c r="CQ430" s="28"/>
      <c r="CR430" s="28"/>
      <c r="CS430" s="28"/>
    </row>
    <row r="431" spans="81:97" x14ac:dyDescent="0.3">
      <c r="CC431" s="28"/>
      <c r="CD431" s="28"/>
      <c r="CE431" s="28"/>
      <c r="CF431" s="28"/>
      <c r="CG431" s="28"/>
      <c r="CH431" s="28"/>
      <c r="CI431" s="28"/>
      <c r="CJ431" s="28"/>
      <c r="CK431" s="28"/>
      <c r="CL431" s="28"/>
      <c r="CM431" s="28"/>
      <c r="CN431" s="28"/>
      <c r="CO431" s="28"/>
      <c r="CP431" s="28"/>
      <c r="CQ431" s="28"/>
      <c r="CR431" s="28"/>
      <c r="CS431" s="28"/>
    </row>
    <row r="432" spans="81:97" x14ac:dyDescent="0.3">
      <c r="CC432" s="28"/>
      <c r="CD432" s="28"/>
      <c r="CE432" s="28"/>
      <c r="CF432" s="28"/>
      <c r="CG432" s="28"/>
      <c r="CH432" s="28"/>
      <c r="CI432" s="28"/>
      <c r="CJ432" s="28"/>
      <c r="CK432" s="28"/>
      <c r="CL432" s="28"/>
      <c r="CM432" s="28"/>
      <c r="CN432" s="28"/>
      <c r="CO432" s="28"/>
      <c r="CP432" s="28"/>
      <c r="CQ432" s="28"/>
      <c r="CR432" s="28"/>
      <c r="CS432" s="28"/>
    </row>
    <row r="433" spans="81:97" x14ac:dyDescent="0.3">
      <c r="CC433" s="28"/>
      <c r="CD433" s="28"/>
      <c r="CE433" s="28"/>
      <c r="CF433" s="28"/>
      <c r="CG433" s="28"/>
      <c r="CH433" s="28"/>
      <c r="CI433" s="28"/>
      <c r="CJ433" s="28"/>
      <c r="CK433" s="28"/>
      <c r="CL433" s="28"/>
      <c r="CM433" s="28"/>
      <c r="CN433" s="28"/>
      <c r="CO433" s="28"/>
      <c r="CP433" s="28"/>
      <c r="CQ433" s="28"/>
      <c r="CR433" s="28"/>
      <c r="CS433" s="28"/>
    </row>
    <row r="434" spans="81:97" x14ac:dyDescent="0.3">
      <c r="CC434" s="28"/>
      <c r="CD434" s="28"/>
      <c r="CE434" s="28"/>
      <c r="CF434" s="28"/>
      <c r="CG434" s="28"/>
      <c r="CH434" s="28"/>
      <c r="CI434" s="28"/>
      <c r="CJ434" s="28"/>
      <c r="CK434" s="28"/>
      <c r="CL434" s="28"/>
      <c r="CM434" s="28"/>
      <c r="CN434" s="28"/>
      <c r="CO434" s="28"/>
      <c r="CP434" s="28"/>
      <c r="CQ434" s="28"/>
      <c r="CR434" s="28"/>
      <c r="CS434" s="28"/>
    </row>
    <row r="435" spans="81:97" x14ac:dyDescent="0.3">
      <c r="CC435" s="28"/>
      <c r="CD435" s="28"/>
      <c r="CE435" s="28"/>
      <c r="CF435" s="28"/>
      <c r="CG435" s="28"/>
      <c r="CH435" s="28"/>
      <c r="CI435" s="28"/>
      <c r="CJ435" s="28"/>
      <c r="CK435" s="28"/>
      <c r="CL435" s="28"/>
      <c r="CM435" s="28"/>
      <c r="CN435" s="28"/>
      <c r="CO435" s="28"/>
      <c r="CP435" s="28"/>
      <c r="CQ435" s="28"/>
      <c r="CR435" s="28"/>
      <c r="CS435" s="28"/>
    </row>
    <row r="436" spans="81:97" x14ac:dyDescent="0.3">
      <c r="CC436" s="28"/>
      <c r="CD436" s="28"/>
      <c r="CE436" s="28"/>
      <c r="CF436" s="28"/>
      <c r="CG436" s="28"/>
      <c r="CH436" s="28"/>
      <c r="CI436" s="28"/>
      <c r="CJ436" s="28"/>
      <c r="CK436" s="28"/>
      <c r="CL436" s="28"/>
      <c r="CM436" s="28"/>
      <c r="CN436" s="28"/>
      <c r="CO436" s="28"/>
      <c r="CP436" s="28"/>
      <c r="CQ436" s="28"/>
      <c r="CR436" s="28"/>
      <c r="CS436" s="28"/>
    </row>
    <row r="437" spans="81:97" x14ac:dyDescent="0.3">
      <c r="CC437" s="28"/>
      <c r="CD437" s="28"/>
      <c r="CE437" s="28"/>
      <c r="CF437" s="28"/>
      <c r="CG437" s="28"/>
      <c r="CH437" s="28"/>
      <c r="CI437" s="28"/>
      <c r="CJ437" s="28"/>
      <c r="CK437" s="28"/>
      <c r="CL437" s="28"/>
      <c r="CM437" s="28"/>
      <c r="CN437" s="28"/>
      <c r="CO437" s="28"/>
      <c r="CP437" s="28"/>
      <c r="CQ437" s="28"/>
      <c r="CR437" s="28"/>
      <c r="CS437" s="28"/>
    </row>
    <row r="438" spans="81:97" x14ac:dyDescent="0.3">
      <c r="CC438" s="28"/>
      <c r="CD438" s="28"/>
      <c r="CE438" s="28"/>
      <c r="CF438" s="28"/>
      <c r="CG438" s="28"/>
      <c r="CH438" s="28"/>
      <c r="CI438" s="28"/>
      <c r="CJ438" s="28"/>
      <c r="CK438" s="28"/>
      <c r="CL438" s="28"/>
      <c r="CM438" s="28"/>
      <c r="CN438" s="28"/>
      <c r="CO438" s="28"/>
      <c r="CP438" s="28"/>
      <c r="CQ438" s="28"/>
      <c r="CR438" s="28"/>
      <c r="CS438" s="28"/>
    </row>
    <row r="439" spans="81:97" x14ac:dyDescent="0.3">
      <c r="CC439" s="28"/>
      <c r="CD439" s="28"/>
      <c r="CE439" s="28"/>
      <c r="CF439" s="28"/>
      <c r="CG439" s="28"/>
      <c r="CH439" s="28"/>
      <c r="CI439" s="28"/>
      <c r="CJ439" s="28"/>
      <c r="CK439" s="28"/>
      <c r="CL439" s="28"/>
      <c r="CM439" s="28"/>
      <c r="CN439" s="28"/>
      <c r="CO439" s="28"/>
      <c r="CP439" s="28"/>
      <c r="CQ439" s="28"/>
      <c r="CR439" s="28"/>
      <c r="CS439" s="28"/>
    </row>
    <row r="440" spans="81:97" x14ac:dyDescent="0.3">
      <c r="CC440" s="28"/>
      <c r="CD440" s="28"/>
      <c r="CE440" s="28"/>
      <c r="CF440" s="28"/>
      <c r="CG440" s="28"/>
      <c r="CH440" s="28"/>
      <c r="CI440" s="28"/>
      <c r="CJ440" s="28"/>
      <c r="CK440" s="28"/>
      <c r="CL440" s="28"/>
      <c r="CM440" s="28"/>
      <c r="CN440" s="28"/>
      <c r="CO440" s="28"/>
      <c r="CP440" s="28"/>
      <c r="CQ440" s="28"/>
      <c r="CR440" s="28"/>
      <c r="CS440" s="28"/>
    </row>
    <row r="441" spans="81:97" x14ac:dyDescent="0.3">
      <c r="CC441" s="28"/>
      <c r="CD441" s="28"/>
      <c r="CE441" s="28"/>
      <c r="CF441" s="28"/>
      <c r="CG441" s="28"/>
      <c r="CH441" s="28"/>
      <c r="CI441" s="28"/>
      <c r="CJ441" s="28"/>
      <c r="CK441" s="28"/>
      <c r="CL441" s="28"/>
      <c r="CM441" s="28"/>
      <c r="CN441" s="28"/>
      <c r="CO441" s="28"/>
      <c r="CP441" s="28"/>
      <c r="CQ441" s="28"/>
      <c r="CR441" s="28"/>
      <c r="CS441" s="28"/>
    </row>
    <row r="442" spans="81:97" x14ac:dyDescent="0.3">
      <c r="CC442" s="28"/>
      <c r="CD442" s="28"/>
      <c r="CE442" s="28"/>
      <c r="CF442" s="28"/>
      <c r="CG442" s="28"/>
      <c r="CH442" s="28"/>
      <c r="CI442" s="28"/>
      <c r="CJ442" s="28"/>
      <c r="CK442" s="28"/>
      <c r="CL442" s="28"/>
      <c r="CM442" s="28"/>
      <c r="CN442" s="28"/>
      <c r="CO442" s="28"/>
      <c r="CP442" s="28"/>
      <c r="CQ442" s="28"/>
      <c r="CR442" s="28"/>
      <c r="CS442" s="28"/>
    </row>
    <row r="443" spans="81:97" x14ac:dyDescent="0.3">
      <c r="CC443" s="28"/>
      <c r="CD443" s="28"/>
      <c r="CE443" s="28"/>
      <c r="CF443" s="28"/>
      <c r="CG443" s="28"/>
      <c r="CH443" s="28"/>
      <c r="CI443" s="28"/>
      <c r="CJ443" s="28"/>
      <c r="CK443" s="28"/>
      <c r="CL443" s="28"/>
      <c r="CM443" s="28"/>
      <c r="CN443" s="28"/>
      <c r="CO443" s="28"/>
      <c r="CP443" s="28"/>
      <c r="CQ443" s="28"/>
      <c r="CR443" s="28"/>
      <c r="CS443" s="28"/>
    </row>
    <row r="444" spans="81:97" x14ac:dyDescent="0.3">
      <c r="CC444" s="28"/>
      <c r="CD444" s="28"/>
      <c r="CE444" s="28"/>
      <c r="CF444" s="28"/>
      <c r="CG444" s="28"/>
      <c r="CH444" s="28"/>
      <c r="CI444" s="28"/>
      <c r="CJ444" s="28"/>
      <c r="CK444" s="28"/>
      <c r="CL444" s="28"/>
      <c r="CM444" s="28"/>
      <c r="CN444" s="28"/>
      <c r="CO444" s="28"/>
      <c r="CP444" s="28"/>
      <c r="CQ444" s="28"/>
      <c r="CR444" s="28"/>
      <c r="CS444" s="28"/>
    </row>
    <row r="445" spans="81:97" x14ac:dyDescent="0.3">
      <c r="CC445" s="28"/>
      <c r="CD445" s="28"/>
      <c r="CE445" s="28"/>
      <c r="CF445" s="28"/>
      <c r="CG445" s="28"/>
      <c r="CH445" s="28"/>
      <c r="CI445" s="28"/>
      <c r="CJ445" s="28"/>
      <c r="CK445" s="28"/>
      <c r="CL445" s="28"/>
      <c r="CM445" s="28"/>
      <c r="CN445" s="28"/>
      <c r="CO445" s="28"/>
      <c r="CP445" s="28"/>
      <c r="CQ445" s="28"/>
      <c r="CR445" s="28"/>
      <c r="CS445" s="28"/>
    </row>
    <row r="446" spans="81:97" x14ac:dyDescent="0.3">
      <c r="CC446" s="28"/>
      <c r="CD446" s="28"/>
      <c r="CE446" s="28"/>
      <c r="CF446" s="28"/>
      <c r="CG446" s="28"/>
      <c r="CH446" s="28"/>
      <c r="CI446" s="28"/>
      <c r="CJ446" s="28"/>
      <c r="CK446" s="28"/>
      <c r="CL446" s="28"/>
      <c r="CM446" s="28"/>
      <c r="CN446" s="28"/>
      <c r="CO446" s="28"/>
      <c r="CP446" s="28"/>
      <c r="CQ446" s="28"/>
      <c r="CR446" s="28"/>
      <c r="CS446" s="28"/>
    </row>
    <row r="447" spans="81:97" x14ac:dyDescent="0.3">
      <c r="CC447" s="28"/>
      <c r="CD447" s="28"/>
      <c r="CE447" s="28"/>
      <c r="CF447" s="28"/>
      <c r="CG447" s="28"/>
      <c r="CH447" s="28"/>
      <c r="CI447" s="28"/>
      <c r="CJ447" s="28"/>
      <c r="CK447" s="28"/>
      <c r="CL447" s="28"/>
      <c r="CM447" s="28"/>
      <c r="CN447" s="28"/>
      <c r="CO447" s="28"/>
      <c r="CP447" s="28"/>
      <c r="CQ447" s="28"/>
      <c r="CR447" s="28"/>
      <c r="CS447" s="28"/>
    </row>
    <row r="448" spans="81:97" x14ac:dyDescent="0.3">
      <c r="CC448" s="28"/>
      <c r="CD448" s="28"/>
      <c r="CE448" s="28"/>
      <c r="CF448" s="28"/>
      <c r="CG448" s="28"/>
      <c r="CH448" s="28"/>
      <c r="CI448" s="28"/>
      <c r="CJ448" s="28"/>
      <c r="CK448" s="28"/>
      <c r="CL448" s="28"/>
      <c r="CM448" s="28"/>
      <c r="CN448" s="28"/>
      <c r="CO448" s="28"/>
      <c r="CP448" s="28"/>
      <c r="CQ448" s="28"/>
      <c r="CR448" s="28"/>
      <c r="CS448" s="28"/>
    </row>
    <row r="449" spans="81:97" x14ac:dyDescent="0.3">
      <c r="CC449" s="28"/>
      <c r="CD449" s="28"/>
      <c r="CE449" s="28"/>
      <c r="CF449" s="28"/>
      <c r="CG449" s="28"/>
      <c r="CH449" s="28"/>
      <c r="CI449" s="28"/>
      <c r="CJ449" s="28"/>
      <c r="CK449" s="28"/>
      <c r="CL449" s="28"/>
      <c r="CM449" s="28"/>
      <c r="CN449" s="28"/>
      <c r="CO449" s="28"/>
      <c r="CP449" s="28"/>
      <c r="CQ449" s="28"/>
      <c r="CR449" s="28"/>
      <c r="CS449" s="28"/>
    </row>
    <row r="450" spans="81:97" x14ac:dyDescent="0.3">
      <c r="CC450" s="28"/>
      <c r="CD450" s="28"/>
      <c r="CE450" s="28"/>
      <c r="CF450" s="28"/>
      <c r="CG450" s="28"/>
      <c r="CH450" s="28"/>
      <c r="CI450" s="28"/>
      <c r="CJ450" s="28"/>
      <c r="CK450" s="28"/>
      <c r="CL450" s="28"/>
      <c r="CM450" s="28"/>
      <c r="CN450" s="28"/>
      <c r="CO450" s="28"/>
      <c r="CP450" s="28"/>
      <c r="CQ450" s="28"/>
      <c r="CR450" s="28"/>
      <c r="CS450" s="28"/>
    </row>
    <row r="451" spans="81:97" x14ac:dyDescent="0.3">
      <c r="CC451" s="28"/>
      <c r="CD451" s="28"/>
      <c r="CE451" s="28"/>
      <c r="CF451" s="28"/>
      <c r="CG451" s="28"/>
      <c r="CH451" s="28"/>
      <c r="CI451" s="28"/>
      <c r="CJ451" s="28"/>
      <c r="CK451" s="28"/>
      <c r="CL451" s="28"/>
      <c r="CM451" s="28"/>
      <c r="CN451" s="28"/>
      <c r="CO451" s="28"/>
      <c r="CP451" s="28"/>
      <c r="CQ451" s="28"/>
      <c r="CR451" s="28"/>
      <c r="CS451" s="28"/>
    </row>
    <row r="452" spans="81:97" x14ac:dyDescent="0.3">
      <c r="CC452" s="28"/>
      <c r="CD452" s="28"/>
      <c r="CE452" s="28"/>
      <c r="CF452" s="28"/>
      <c r="CG452" s="28"/>
      <c r="CH452" s="28"/>
      <c r="CI452" s="28"/>
      <c r="CJ452" s="28"/>
      <c r="CK452" s="28"/>
      <c r="CL452" s="28"/>
      <c r="CM452" s="28"/>
      <c r="CN452" s="28"/>
      <c r="CO452" s="28"/>
      <c r="CP452" s="28"/>
      <c r="CQ452" s="28"/>
      <c r="CR452" s="28"/>
      <c r="CS452" s="28"/>
    </row>
    <row r="453" spans="81:97" x14ac:dyDescent="0.3">
      <c r="CC453" s="28"/>
      <c r="CD453" s="28"/>
      <c r="CE453" s="28"/>
      <c r="CF453" s="28"/>
      <c r="CG453" s="28"/>
      <c r="CH453" s="28"/>
      <c r="CI453" s="28"/>
      <c r="CJ453" s="28"/>
      <c r="CK453" s="28"/>
      <c r="CL453" s="28"/>
      <c r="CM453" s="28"/>
      <c r="CN453" s="28"/>
      <c r="CO453" s="28"/>
      <c r="CP453" s="28"/>
      <c r="CQ453" s="28"/>
      <c r="CR453" s="28"/>
      <c r="CS453" s="28"/>
    </row>
    <row r="454" spans="81:97" x14ac:dyDescent="0.3">
      <c r="CC454" s="28"/>
      <c r="CD454" s="28"/>
      <c r="CE454" s="28"/>
      <c r="CF454" s="28"/>
      <c r="CG454" s="28"/>
      <c r="CH454" s="28"/>
      <c r="CI454" s="28"/>
      <c r="CJ454" s="28"/>
      <c r="CK454" s="28"/>
      <c r="CL454" s="28"/>
      <c r="CM454" s="28"/>
      <c r="CN454" s="28"/>
      <c r="CO454" s="28"/>
      <c r="CP454" s="28"/>
      <c r="CQ454" s="28"/>
      <c r="CR454" s="28"/>
      <c r="CS454" s="28"/>
    </row>
    <row r="455" spans="81:97" x14ac:dyDescent="0.3">
      <c r="CC455" s="28"/>
      <c r="CD455" s="28"/>
      <c r="CE455" s="28"/>
      <c r="CF455" s="28"/>
      <c r="CG455" s="28"/>
      <c r="CH455" s="28"/>
      <c r="CI455" s="28"/>
      <c r="CJ455" s="28"/>
      <c r="CK455" s="28"/>
      <c r="CL455" s="28"/>
      <c r="CM455" s="28"/>
      <c r="CN455" s="28"/>
      <c r="CO455" s="28"/>
      <c r="CP455" s="28"/>
      <c r="CQ455" s="28"/>
      <c r="CR455" s="28"/>
      <c r="CS455" s="28"/>
    </row>
    <row r="456" spans="81:97" x14ac:dyDescent="0.3">
      <c r="CC456" s="28"/>
      <c r="CD456" s="28"/>
      <c r="CE456" s="28"/>
      <c r="CF456" s="28"/>
      <c r="CG456" s="28"/>
      <c r="CH456" s="28"/>
      <c r="CI456" s="28"/>
      <c r="CJ456" s="28"/>
      <c r="CK456" s="28"/>
      <c r="CL456" s="28"/>
      <c r="CM456" s="28"/>
      <c r="CN456" s="28"/>
      <c r="CO456" s="28"/>
      <c r="CP456" s="28"/>
      <c r="CQ456" s="28"/>
      <c r="CR456" s="28"/>
      <c r="CS456" s="28"/>
    </row>
    <row r="457" spans="81:97" x14ac:dyDescent="0.3">
      <c r="CC457" s="28"/>
      <c r="CD457" s="28"/>
      <c r="CE457" s="28"/>
      <c r="CF457" s="28"/>
      <c r="CG457" s="28"/>
      <c r="CH457" s="28"/>
      <c r="CI457" s="28"/>
      <c r="CJ457" s="28"/>
      <c r="CK457" s="28"/>
      <c r="CL457" s="28"/>
      <c r="CM457" s="28"/>
      <c r="CN457" s="28"/>
      <c r="CO457" s="28"/>
      <c r="CP457" s="28"/>
      <c r="CQ457" s="28"/>
      <c r="CR457" s="28"/>
      <c r="CS457" s="28"/>
    </row>
    <row r="458" spans="81:97" x14ac:dyDescent="0.3">
      <c r="CC458" s="28"/>
      <c r="CD458" s="28"/>
      <c r="CE458" s="28"/>
      <c r="CF458" s="28"/>
      <c r="CG458" s="28"/>
      <c r="CH458" s="28"/>
      <c r="CI458" s="28"/>
      <c r="CJ458" s="28"/>
      <c r="CK458" s="28"/>
      <c r="CL458" s="28"/>
      <c r="CM458" s="28"/>
      <c r="CN458" s="28"/>
      <c r="CO458" s="28"/>
      <c r="CP458" s="28"/>
      <c r="CQ458" s="28"/>
      <c r="CR458" s="28"/>
      <c r="CS458" s="28"/>
    </row>
    <row r="459" spans="81:97" x14ac:dyDescent="0.3">
      <c r="CC459" s="28"/>
      <c r="CD459" s="28"/>
      <c r="CE459" s="28"/>
      <c r="CF459" s="28"/>
      <c r="CG459" s="28"/>
      <c r="CH459" s="28"/>
      <c r="CI459" s="28"/>
      <c r="CJ459" s="28"/>
      <c r="CK459" s="28"/>
      <c r="CL459" s="28"/>
      <c r="CM459" s="28"/>
      <c r="CN459" s="28"/>
      <c r="CO459" s="28"/>
      <c r="CP459" s="28"/>
      <c r="CQ459" s="28"/>
      <c r="CR459" s="28"/>
      <c r="CS459" s="28"/>
    </row>
    <row r="460" spans="81:97" x14ac:dyDescent="0.3">
      <c r="CC460" s="28"/>
      <c r="CD460" s="28"/>
      <c r="CE460" s="28"/>
      <c r="CF460" s="28"/>
      <c r="CG460" s="28"/>
      <c r="CH460" s="28"/>
      <c r="CI460" s="28"/>
      <c r="CJ460" s="28"/>
      <c r="CK460" s="28"/>
      <c r="CL460" s="28"/>
      <c r="CM460" s="28"/>
      <c r="CN460" s="28"/>
      <c r="CO460" s="28"/>
      <c r="CP460" s="28"/>
      <c r="CQ460" s="28"/>
      <c r="CR460" s="28"/>
      <c r="CS460" s="28"/>
    </row>
    <row r="461" spans="81:97" x14ac:dyDescent="0.3">
      <c r="CC461" s="28"/>
      <c r="CD461" s="28"/>
      <c r="CE461" s="28"/>
      <c r="CF461" s="28"/>
      <c r="CG461" s="28"/>
      <c r="CH461" s="28"/>
      <c r="CI461" s="28"/>
      <c r="CJ461" s="28"/>
      <c r="CK461" s="28"/>
      <c r="CL461" s="28"/>
      <c r="CM461" s="28"/>
      <c r="CN461" s="28"/>
      <c r="CO461" s="28"/>
      <c r="CP461" s="28"/>
      <c r="CQ461" s="28"/>
      <c r="CR461" s="28"/>
      <c r="CS461" s="28"/>
    </row>
    <row r="462" spans="81:97" x14ac:dyDescent="0.3">
      <c r="CC462" s="28"/>
      <c r="CD462" s="28"/>
      <c r="CE462" s="28"/>
      <c r="CF462" s="28"/>
      <c r="CG462" s="28"/>
      <c r="CH462" s="28"/>
      <c r="CI462" s="28"/>
      <c r="CJ462" s="28"/>
      <c r="CK462" s="28"/>
      <c r="CL462" s="28"/>
      <c r="CM462" s="28"/>
      <c r="CN462" s="28"/>
      <c r="CO462" s="28"/>
      <c r="CP462" s="28"/>
      <c r="CQ462" s="28"/>
      <c r="CR462" s="28"/>
      <c r="CS462" s="28"/>
    </row>
    <row r="463" spans="81:97" x14ac:dyDescent="0.3">
      <c r="CC463" s="28"/>
      <c r="CD463" s="28"/>
      <c r="CE463" s="28"/>
      <c r="CF463" s="28"/>
      <c r="CG463" s="28"/>
      <c r="CH463" s="28"/>
      <c r="CI463" s="28"/>
      <c r="CJ463" s="28"/>
      <c r="CK463" s="28"/>
      <c r="CL463" s="28"/>
      <c r="CM463" s="28"/>
      <c r="CN463" s="28"/>
      <c r="CO463" s="28"/>
      <c r="CP463" s="28"/>
      <c r="CQ463" s="28"/>
      <c r="CR463" s="28"/>
      <c r="CS463" s="28"/>
    </row>
    <row r="464" spans="81:97" x14ac:dyDescent="0.3">
      <c r="CC464" s="28"/>
      <c r="CD464" s="28"/>
      <c r="CE464" s="28"/>
      <c r="CF464" s="28"/>
      <c r="CG464" s="28"/>
      <c r="CH464" s="28"/>
      <c r="CI464" s="28"/>
      <c r="CJ464" s="28"/>
      <c r="CK464" s="28"/>
      <c r="CL464" s="28"/>
      <c r="CM464" s="28"/>
      <c r="CN464" s="28"/>
      <c r="CO464" s="28"/>
      <c r="CP464" s="28"/>
      <c r="CQ464" s="28"/>
      <c r="CR464" s="28"/>
      <c r="CS464" s="28"/>
    </row>
    <row r="465" spans="81:97" x14ac:dyDescent="0.3">
      <c r="CC465" s="28"/>
      <c r="CD465" s="28"/>
      <c r="CE465" s="28"/>
      <c r="CF465" s="28"/>
      <c r="CG465" s="28"/>
      <c r="CH465" s="28"/>
      <c r="CI465" s="28"/>
      <c r="CJ465" s="28"/>
      <c r="CK465" s="28"/>
      <c r="CL465" s="28"/>
      <c r="CM465" s="28"/>
      <c r="CN465" s="28"/>
      <c r="CO465" s="28"/>
      <c r="CP465" s="28"/>
      <c r="CQ465" s="28"/>
      <c r="CR465" s="28"/>
      <c r="CS465" s="28"/>
    </row>
    <row r="466" spans="81:97" x14ac:dyDescent="0.3">
      <c r="CC466" s="28"/>
      <c r="CD466" s="28"/>
      <c r="CE466" s="28"/>
      <c r="CF466" s="28"/>
      <c r="CG466" s="28"/>
      <c r="CH466" s="28"/>
      <c r="CI466" s="28"/>
      <c r="CJ466" s="28"/>
      <c r="CK466" s="28"/>
      <c r="CL466" s="28"/>
      <c r="CM466" s="28"/>
      <c r="CN466" s="28"/>
      <c r="CO466" s="28"/>
      <c r="CP466" s="28"/>
      <c r="CQ466" s="28"/>
      <c r="CR466" s="28"/>
      <c r="CS466" s="28"/>
    </row>
    <row r="467" spans="81:97" x14ac:dyDescent="0.3">
      <c r="CC467" s="28"/>
      <c r="CD467" s="28"/>
      <c r="CE467" s="28"/>
      <c r="CF467" s="28"/>
      <c r="CG467" s="28"/>
      <c r="CH467" s="28"/>
      <c r="CI467" s="28"/>
      <c r="CJ467" s="28"/>
      <c r="CK467" s="28"/>
      <c r="CL467" s="28"/>
      <c r="CM467" s="28"/>
      <c r="CN467" s="28"/>
      <c r="CO467" s="28"/>
      <c r="CP467" s="28"/>
      <c r="CQ467" s="28"/>
      <c r="CR467" s="28"/>
      <c r="CS467" s="28"/>
    </row>
    <row r="468" spans="81:97" x14ac:dyDescent="0.3">
      <c r="CC468" s="28"/>
      <c r="CD468" s="28"/>
      <c r="CE468" s="28"/>
      <c r="CF468" s="28"/>
      <c r="CG468" s="28"/>
      <c r="CH468" s="28"/>
      <c r="CI468" s="28"/>
      <c r="CJ468" s="28"/>
      <c r="CK468" s="28"/>
      <c r="CL468" s="28"/>
      <c r="CM468" s="28"/>
      <c r="CN468" s="28"/>
      <c r="CO468" s="28"/>
      <c r="CP468" s="28"/>
      <c r="CQ468" s="28"/>
      <c r="CR468" s="28"/>
      <c r="CS468" s="28"/>
    </row>
    <row r="469" spans="81:97" x14ac:dyDescent="0.3">
      <c r="CC469" s="28"/>
      <c r="CD469" s="28"/>
      <c r="CE469" s="28"/>
      <c r="CF469" s="28"/>
      <c r="CG469" s="28"/>
      <c r="CH469" s="28"/>
      <c r="CI469" s="28"/>
      <c r="CJ469" s="28"/>
      <c r="CK469" s="28"/>
      <c r="CL469" s="28"/>
      <c r="CM469" s="28"/>
      <c r="CN469" s="28"/>
      <c r="CO469" s="28"/>
      <c r="CP469" s="28"/>
      <c r="CQ469" s="28"/>
      <c r="CR469" s="28"/>
      <c r="CS469" s="28"/>
    </row>
    <row r="470" spans="81:97" x14ac:dyDescent="0.3">
      <c r="CC470" s="28"/>
      <c r="CD470" s="28"/>
      <c r="CE470" s="28"/>
      <c r="CF470" s="28"/>
      <c r="CG470" s="28"/>
      <c r="CH470" s="28"/>
      <c r="CI470" s="28"/>
      <c r="CJ470" s="28"/>
      <c r="CK470" s="28"/>
      <c r="CL470" s="28"/>
      <c r="CM470" s="28"/>
      <c r="CN470" s="28"/>
      <c r="CO470" s="28"/>
      <c r="CP470" s="28"/>
      <c r="CQ470" s="28"/>
      <c r="CR470" s="28"/>
      <c r="CS470" s="28"/>
    </row>
    <row r="471" spans="81:97" x14ac:dyDescent="0.3">
      <c r="CC471" s="28"/>
      <c r="CD471" s="28"/>
      <c r="CE471" s="28"/>
      <c r="CF471" s="28"/>
      <c r="CG471" s="28"/>
      <c r="CH471" s="28"/>
      <c r="CI471" s="28"/>
      <c r="CJ471" s="28"/>
      <c r="CK471" s="28"/>
      <c r="CL471" s="28"/>
      <c r="CM471" s="28"/>
      <c r="CN471" s="28"/>
      <c r="CO471" s="28"/>
      <c r="CP471" s="28"/>
      <c r="CQ471" s="28"/>
      <c r="CR471" s="28"/>
      <c r="CS471" s="28"/>
    </row>
    <row r="472" spans="81:97" x14ac:dyDescent="0.3">
      <c r="CC472" s="28"/>
      <c r="CD472" s="28"/>
      <c r="CE472" s="28"/>
      <c r="CF472" s="28"/>
      <c r="CG472" s="28"/>
      <c r="CH472" s="28"/>
      <c r="CI472" s="28"/>
      <c r="CJ472" s="28"/>
      <c r="CK472" s="28"/>
      <c r="CL472" s="28"/>
      <c r="CM472" s="28"/>
      <c r="CN472" s="28"/>
      <c r="CO472" s="28"/>
      <c r="CP472" s="28"/>
      <c r="CQ472" s="28"/>
      <c r="CR472" s="28"/>
      <c r="CS472" s="28"/>
    </row>
    <row r="473" spans="81:97" x14ac:dyDescent="0.3">
      <c r="CC473" s="28"/>
      <c r="CD473" s="28"/>
      <c r="CE473" s="28"/>
      <c r="CF473" s="28"/>
      <c r="CG473" s="28"/>
      <c r="CH473" s="28"/>
      <c r="CI473" s="28"/>
      <c r="CJ473" s="28"/>
      <c r="CK473" s="28"/>
      <c r="CL473" s="28"/>
      <c r="CM473" s="28"/>
      <c r="CN473" s="28"/>
      <c r="CO473" s="28"/>
      <c r="CP473" s="28"/>
      <c r="CQ473" s="28"/>
      <c r="CR473" s="28"/>
      <c r="CS473" s="28"/>
    </row>
    <row r="474" spans="81:97" x14ac:dyDescent="0.3">
      <c r="CC474" s="28"/>
      <c r="CD474" s="28"/>
      <c r="CE474" s="28"/>
      <c r="CF474" s="28"/>
      <c r="CG474" s="28"/>
      <c r="CH474" s="28"/>
      <c r="CI474" s="28"/>
      <c r="CJ474" s="28"/>
      <c r="CK474" s="28"/>
      <c r="CL474" s="28"/>
      <c r="CM474" s="28"/>
      <c r="CN474" s="28"/>
      <c r="CO474" s="28"/>
      <c r="CP474" s="28"/>
      <c r="CQ474" s="28"/>
      <c r="CR474" s="28"/>
      <c r="CS474" s="28"/>
    </row>
    <row r="475" spans="81:97" x14ac:dyDescent="0.3">
      <c r="CC475" s="28"/>
      <c r="CD475" s="28"/>
      <c r="CE475" s="28"/>
      <c r="CF475" s="28"/>
      <c r="CG475" s="28"/>
      <c r="CH475" s="28"/>
      <c r="CI475" s="28"/>
      <c r="CJ475" s="28"/>
      <c r="CK475" s="28"/>
      <c r="CL475" s="28"/>
      <c r="CM475" s="28"/>
      <c r="CN475" s="28"/>
      <c r="CO475" s="28"/>
      <c r="CP475" s="28"/>
      <c r="CQ475" s="28"/>
      <c r="CR475" s="28"/>
      <c r="CS475" s="28"/>
    </row>
    <row r="476" spans="81:97" x14ac:dyDescent="0.3">
      <c r="CC476" s="28"/>
      <c r="CD476" s="28"/>
      <c r="CE476" s="28"/>
      <c r="CF476" s="28"/>
      <c r="CG476" s="28"/>
      <c r="CH476" s="28"/>
      <c r="CI476" s="28"/>
      <c r="CJ476" s="28"/>
      <c r="CK476" s="28"/>
      <c r="CL476" s="28"/>
      <c r="CM476" s="28"/>
      <c r="CN476" s="28"/>
      <c r="CO476" s="28"/>
      <c r="CP476" s="28"/>
      <c r="CQ476" s="28"/>
      <c r="CR476" s="28"/>
      <c r="CS476" s="28"/>
    </row>
    <row r="477" spans="81:97" x14ac:dyDescent="0.3">
      <c r="CC477" s="28"/>
      <c r="CD477" s="28"/>
      <c r="CE477" s="28"/>
      <c r="CF477" s="28"/>
      <c r="CG477" s="28"/>
      <c r="CH477" s="28"/>
      <c r="CI477" s="28"/>
      <c r="CJ477" s="28"/>
      <c r="CK477" s="28"/>
      <c r="CL477" s="28"/>
      <c r="CM477" s="28"/>
      <c r="CN477" s="28"/>
      <c r="CO477" s="28"/>
      <c r="CP477" s="28"/>
      <c r="CQ477" s="28"/>
      <c r="CR477" s="28"/>
      <c r="CS477" s="28"/>
    </row>
    <row r="478" spans="81:97" x14ac:dyDescent="0.3">
      <c r="CC478" s="28"/>
      <c r="CD478" s="28"/>
      <c r="CE478" s="28"/>
      <c r="CF478" s="28"/>
      <c r="CG478" s="28"/>
      <c r="CH478" s="28"/>
      <c r="CI478" s="28"/>
      <c r="CJ478" s="28"/>
      <c r="CK478" s="28"/>
      <c r="CL478" s="28"/>
      <c r="CM478" s="28"/>
      <c r="CN478" s="28"/>
      <c r="CO478" s="28"/>
      <c r="CP478" s="28"/>
      <c r="CQ478" s="28"/>
      <c r="CR478" s="28"/>
      <c r="CS478" s="28"/>
    </row>
    <row r="479" spans="81:97" x14ac:dyDescent="0.3">
      <c r="CC479" s="28"/>
      <c r="CD479" s="28"/>
      <c r="CE479" s="28"/>
      <c r="CF479" s="28"/>
      <c r="CG479" s="28"/>
      <c r="CH479" s="28"/>
      <c r="CI479" s="28"/>
      <c r="CJ479" s="28"/>
      <c r="CK479" s="28"/>
      <c r="CL479" s="28"/>
      <c r="CM479" s="28"/>
      <c r="CN479" s="28"/>
      <c r="CO479" s="28"/>
      <c r="CP479" s="28"/>
      <c r="CQ479" s="28"/>
      <c r="CR479" s="28"/>
      <c r="CS479" s="28"/>
    </row>
    <row r="480" spans="81:97" x14ac:dyDescent="0.3">
      <c r="CC480" s="28"/>
      <c r="CD480" s="28"/>
      <c r="CE480" s="28"/>
      <c r="CF480" s="28"/>
      <c r="CG480" s="28"/>
      <c r="CH480" s="28"/>
      <c r="CI480" s="28"/>
      <c r="CJ480" s="28"/>
      <c r="CK480" s="28"/>
      <c r="CL480" s="28"/>
      <c r="CM480" s="28"/>
      <c r="CN480" s="28"/>
      <c r="CO480" s="28"/>
      <c r="CP480" s="28"/>
      <c r="CQ480" s="28"/>
      <c r="CR480" s="28"/>
      <c r="CS480" s="28"/>
    </row>
    <row r="481" spans="81:97" x14ac:dyDescent="0.3">
      <c r="CC481" s="28"/>
      <c r="CD481" s="28"/>
      <c r="CE481" s="28"/>
      <c r="CF481" s="28"/>
      <c r="CG481" s="28"/>
      <c r="CH481" s="28"/>
      <c r="CI481" s="28"/>
      <c r="CJ481" s="28"/>
      <c r="CK481" s="28"/>
      <c r="CL481" s="28"/>
      <c r="CM481" s="28"/>
      <c r="CN481" s="28"/>
      <c r="CO481" s="28"/>
      <c r="CP481" s="28"/>
      <c r="CQ481" s="28"/>
      <c r="CR481" s="28"/>
      <c r="CS481" s="28"/>
    </row>
    <row r="482" spans="81:97" x14ac:dyDescent="0.3">
      <c r="CC482" s="28"/>
      <c r="CD482" s="28"/>
      <c r="CE482" s="28"/>
      <c r="CF482" s="28"/>
      <c r="CG482" s="28"/>
      <c r="CH482" s="28"/>
      <c r="CI482" s="28"/>
      <c r="CJ482" s="28"/>
      <c r="CK482" s="28"/>
      <c r="CL482" s="28"/>
      <c r="CM482" s="28"/>
      <c r="CN482" s="28"/>
      <c r="CO482" s="28"/>
      <c r="CP482" s="28"/>
      <c r="CQ482" s="28"/>
      <c r="CR482" s="28"/>
      <c r="CS482" s="28"/>
    </row>
    <row r="483" spans="81:97" x14ac:dyDescent="0.3">
      <c r="CC483" s="28"/>
      <c r="CD483" s="28"/>
      <c r="CE483" s="28"/>
      <c r="CF483" s="28"/>
      <c r="CG483" s="28"/>
      <c r="CH483" s="28"/>
      <c r="CI483" s="28"/>
      <c r="CJ483" s="28"/>
      <c r="CK483" s="28"/>
      <c r="CL483" s="28"/>
      <c r="CM483" s="28"/>
      <c r="CN483" s="28"/>
      <c r="CO483" s="28"/>
      <c r="CP483" s="28"/>
      <c r="CQ483" s="28"/>
      <c r="CR483" s="28"/>
      <c r="CS483" s="28"/>
    </row>
    <row r="484" spans="81:97" x14ac:dyDescent="0.3">
      <c r="CC484" s="28"/>
      <c r="CD484" s="28"/>
      <c r="CE484" s="28"/>
      <c r="CF484" s="28"/>
      <c r="CG484" s="28"/>
      <c r="CH484" s="28"/>
      <c r="CI484" s="28"/>
      <c r="CJ484" s="28"/>
      <c r="CK484" s="28"/>
      <c r="CL484" s="28"/>
      <c r="CM484" s="28"/>
      <c r="CN484" s="28"/>
      <c r="CO484" s="28"/>
      <c r="CP484" s="28"/>
      <c r="CQ484" s="28"/>
      <c r="CR484" s="28"/>
      <c r="CS484" s="28"/>
    </row>
    <row r="485" spans="81:97" x14ac:dyDescent="0.3">
      <c r="CC485" s="28"/>
      <c r="CD485" s="28"/>
      <c r="CE485" s="28"/>
      <c r="CF485" s="28"/>
      <c r="CG485" s="28"/>
      <c r="CH485" s="28"/>
      <c r="CI485" s="28"/>
      <c r="CJ485" s="28"/>
      <c r="CK485" s="28"/>
      <c r="CL485" s="28"/>
      <c r="CM485" s="28"/>
      <c r="CN485" s="28"/>
      <c r="CO485" s="28"/>
      <c r="CP485" s="28"/>
      <c r="CQ485" s="28"/>
      <c r="CR485" s="28"/>
      <c r="CS485" s="28"/>
    </row>
    <row r="486" spans="81:97" x14ac:dyDescent="0.3">
      <c r="CC486" s="28"/>
      <c r="CD486" s="28"/>
      <c r="CE486" s="28"/>
      <c r="CF486" s="28"/>
      <c r="CG486" s="28"/>
      <c r="CH486" s="28"/>
      <c r="CI486" s="28"/>
      <c r="CJ486" s="28"/>
      <c r="CK486" s="28"/>
      <c r="CL486" s="28"/>
      <c r="CM486" s="28"/>
      <c r="CN486" s="28"/>
      <c r="CO486" s="28"/>
      <c r="CP486" s="28"/>
      <c r="CQ486" s="28"/>
      <c r="CR486" s="28"/>
      <c r="CS486" s="28"/>
    </row>
    <row r="487" spans="81:97" x14ac:dyDescent="0.3">
      <c r="CC487" s="28"/>
      <c r="CD487" s="28"/>
      <c r="CE487" s="28"/>
      <c r="CF487" s="28"/>
      <c r="CG487" s="28"/>
      <c r="CH487" s="28"/>
      <c r="CI487" s="28"/>
      <c r="CJ487" s="28"/>
      <c r="CK487" s="28"/>
      <c r="CL487" s="28"/>
      <c r="CM487" s="28"/>
      <c r="CN487" s="28"/>
      <c r="CO487" s="28"/>
      <c r="CP487" s="28"/>
      <c r="CQ487" s="28"/>
      <c r="CR487" s="28"/>
      <c r="CS487" s="28"/>
    </row>
    <row r="488" spans="81:97" x14ac:dyDescent="0.3">
      <c r="CC488" s="28"/>
      <c r="CD488" s="28"/>
      <c r="CE488" s="28"/>
      <c r="CF488" s="28"/>
      <c r="CG488" s="28"/>
      <c r="CH488" s="28"/>
      <c r="CI488" s="28"/>
      <c r="CJ488" s="28"/>
      <c r="CK488" s="28"/>
      <c r="CL488" s="28"/>
      <c r="CM488" s="28"/>
      <c r="CN488" s="28"/>
      <c r="CO488" s="28"/>
      <c r="CP488" s="28"/>
      <c r="CQ488" s="28"/>
      <c r="CR488" s="28"/>
      <c r="CS488" s="28"/>
    </row>
    <row r="489" spans="81:97" x14ac:dyDescent="0.3">
      <c r="CC489" s="28"/>
      <c r="CD489" s="28"/>
      <c r="CE489" s="28"/>
      <c r="CF489" s="28"/>
      <c r="CG489" s="28"/>
      <c r="CH489" s="28"/>
      <c r="CI489" s="28"/>
      <c r="CJ489" s="28"/>
      <c r="CK489" s="28"/>
      <c r="CL489" s="28"/>
      <c r="CM489" s="28"/>
      <c r="CN489" s="28"/>
      <c r="CO489" s="28"/>
      <c r="CP489" s="28"/>
      <c r="CQ489" s="28"/>
      <c r="CR489" s="28"/>
      <c r="CS489" s="28"/>
    </row>
    <row r="490" spans="81:97" x14ac:dyDescent="0.3">
      <c r="CC490" s="28"/>
      <c r="CD490" s="28"/>
      <c r="CE490" s="28"/>
      <c r="CF490" s="28"/>
      <c r="CG490" s="28"/>
      <c r="CH490" s="28"/>
      <c r="CI490" s="28"/>
      <c r="CJ490" s="28"/>
      <c r="CK490" s="28"/>
      <c r="CL490" s="28"/>
      <c r="CM490" s="28"/>
      <c r="CN490" s="28"/>
      <c r="CO490" s="28"/>
      <c r="CP490" s="28"/>
      <c r="CQ490" s="28"/>
      <c r="CR490" s="28"/>
      <c r="CS490" s="28"/>
    </row>
    <row r="491" spans="81:97" x14ac:dyDescent="0.3">
      <c r="CC491" s="28"/>
      <c r="CD491" s="28"/>
      <c r="CE491" s="28"/>
      <c r="CF491" s="28"/>
      <c r="CG491" s="28"/>
      <c r="CH491" s="28"/>
      <c r="CI491" s="28"/>
      <c r="CJ491" s="28"/>
      <c r="CK491" s="28"/>
      <c r="CL491" s="28"/>
      <c r="CM491" s="28"/>
      <c r="CN491" s="28"/>
      <c r="CO491" s="28"/>
      <c r="CP491" s="28"/>
      <c r="CQ491" s="28"/>
      <c r="CR491" s="28"/>
      <c r="CS491" s="28"/>
    </row>
    <row r="492" spans="81:97" x14ac:dyDescent="0.3">
      <c r="CC492" s="28"/>
      <c r="CD492" s="28"/>
      <c r="CE492" s="28"/>
      <c r="CF492" s="28"/>
      <c r="CG492" s="28"/>
      <c r="CH492" s="28"/>
      <c r="CI492" s="28"/>
      <c r="CJ492" s="28"/>
      <c r="CK492" s="28"/>
      <c r="CL492" s="28"/>
      <c r="CM492" s="28"/>
      <c r="CN492" s="28"/>
      <c r="CO492" s="28"/>
      <c r="CP492" s="28"/>
      <c r="CQ492" s="28"/>
      <c r="CR492" s="28"/>
      <c r="CS492" s="28"/>
    </row>
    <row r="493" spans="81:97" x14ac:dyDescent="0.3">
      <c r="CC493" s="28"/>
      <c r="CD493" s="28"/>
      <c r="CE493" s="28"/>
      <c r="CF493" s="28"/>
      <c r="CG493" s="28"/>
      <c r="CH493" s="28"/>
      <c r="CI493" s="28"/>
      <c r="CJ493" s="28"/>
      <c r="CK493" s="28"/>
      <c r="CL493" s="28"/>
      <c r="CM493" s="28"/>
      <c r="CN493" s="28"/>
      <c r="CO493" s="28"/>
      <c r="CP493" s="28"/>
      <c r="CQ493" s="28"/>
      <c r="CR493" s="28"/>
      <c r="CS493" s="28"/>
    </row>
    <row r="494" spans="81:97" x14ac:dyDescent="0.3">
      <c r="CC494" s="28"/>
      <c r="CD494" s="28"/>
      <c r="CE494" s="28"/>
      <c r="CF494" s="28"/>
      <c r="CG494" s="28"/>
      <c r="CH494" s="28"/>
      <c r="CI494" s="28"/>
      <c r="CJ494" s="28"/>
      <c r="CK494" s="28"/>
      <c r="CL494" s="28"/>
      <c r="CM494" s="28"/>
      <c r="CN494" s="28"/>
      <c r="CO494" s="28"/>
      <c r="CP494" s="28"/>
      <c r="CQ494" s="28"/>
      <c r="CR494" s="28"/>
      <c r="CS494" s="28"/>
    </row>
    <row r="495" spans="81:97" x14ac:dyDescent="0.3">
      <c r="CC495" s="28"/>
      <c r="CD495" s="28"/>
      <c r="CE495" s="28"/>
      <c r="CF495" s="28"/>
      <c r="CG495" s="28"/>
      <c r="CH495" s="28"/>
      <c r="CI495" s="28"/>
      <c r="CJ495" s="28"/>
      <c r="CK495" s="28"/>
      <c r="CL495" s="28"/>
      <c r="CM495" s="28"/>
      <c r="CN495" s="28"/>
      <c r="CO495" s="28"/>
      <c r="CP495" s="28"/>
      <c r="CQ495" s="28"/>
      <c r="CR495" s="28"/>
      <c r="CS495" s="28"/>
    </row>
    <row r="496" spans="81:97" x14ac:dyDescent="0.3">
      <c r="CC496" s="28"/>
      <c r="CD496" s="28"/>
      <c r="CE496" s="28"/>
      <c r="CF496" s="28"/>
      <c r="CG496" s="28"/>
      <c r="CH496" s="28"/>
      <c r="CI496" s="28"/>
      <c r="CJ496" s="28"/>
      <c r="CK496" s="28"/>
      <c r="CL496" s="28"/>
      <c r="CM496" s="28"/>
      <c r="CN496" s="28"/>
      <c r="CO496" s="28"/>
      <c r="CP496" s="28"/>
      <c r="CQ496" s="28"/>
      <c r="CR496" s="28"/>
      <c r="CS496" s="28"/>
    </row>
    <row r="497" spans="81:97" x14ac:dyDescent="0.3">
      <c r="CC497" s="28"/>
      <c r="CD497" s="28"/>
      <c r="CE497" s="28"/>
      <c r="CF497" s="28"/>
      <c r="CG497" s="28"/>
      <c r="CH497" s="28"/>
      <c r="CI497" s="28"/>
      <c r="CJ497" s="28"/>
      <c r="CK497" s="28"/>
      <c r="CL497" s="28"/>
      <c r="CM497" s="28"/>
      <c r="CN497" s="28"/>
      <c r="CO497" s="28"/>
      <c r="CP497" s="28"/>
      <c r="CQ497" s="28"/>
      <c r="CR497" s="28"/>
      <c r="CS497" s="28"/>
    </row>
    <row r="498" spans="81:97" x14ac:dyDescent="0.3">
      <c r="CC498" s="28"/>
      <c r="CD498" s="28"/>
      <c r="CE498" s="28"/>
      <c r="CF498" s="28"/>
      <c r="CG498" s="28"/>
      <c r="CH498" s="28"/>
      <c r="CI498" s="28"/>
      <c r="CJ498" s="28"/>
      <c r="CK498" s="28"/>
      <c r="CL498" s="28"/>
      <c r="CM498" s="28"/>
      <c r="CN498" s="28"/>
      <c r="CO498" s="28"/>
      <c r="CP498" s="28"/>
      <c r="CQ498" s="28"/>
      <c r="CR498" s="28"/>
      <c r="CS498" s="28"/>
    </row>
    <row r="499" spans="81:97" x14ac:dyDescent="0.3">
      <c r="CC499" s="28"/>
      <c r="CD499" s="28"/>
      <c r="CE499" s="28"/>
      <c r="CF499" s="28"/>
      <c r="CG499" s="28"/>
      <c r="CH499" s="28"/>
      <c r="CI499" s="28"/>
      <c r="CJ499" s="28"/>
      <c r="CK499" s="28"/>
      <c r="CL499" s="28"/>
      <c r="CM499" s="28"/>
      <c r="CN499" s="28"/>
      <c r="CO499" s="28"/>
      <c r="CP499" s="28"/>
      <c r="CQ499" s="28"/>
      <c r="CR499" s="28"/>
      <c r="CS499" s="28"/>
    </row>
    <row r="500" spans="81:97" x14ac:dyDescent="0.3">
      <c r="CC500" s="28"/>
      <c r="CD500" s="28"/>
      <c r="CE500" s="28"/>
      <c r="CF500" s="28"/>
      <c r="CG500" s="28"/>
      <c r="CH500" s="28"/>
      <c r="CI500" s="28"/>
      <c r="CJ500" s="28"/>
      <c r="CK500" s="28"/>
      <c r="CL500" s="28"/>
      <c r="CM500" s="28"/>
      <c r="CN500" s="28"/>
      <c r="CO500" s="28"/>
      <c r="CP500" s="28"/>
      <c r="CQ500" s="28"/>
      <c r="CR500" s="28"/>
      <c r="CS500" s="28"/>
    </row>
  </sheetData>
  <mergeCells count="3">
    <mergeCell ref="D5:Q5"/>
    <mergeCell ref="F4:J4"/>
    <mergeCell ref="G2:O3"/>
  </mergeCells>
  <conditionalFormatting sqref="Y99:AJ230">
    <cfRule type="containsText" dxfId="31" priority="38" stopIfTrue="1" operator="containsText" text="N">
      <formula>NOT(ISERROR(SEARCH("N",Y99)))</formula>
    </cfRule>
    <cfRule type="containsText" dxfId="30" priority="41" stopIfTrue="1" operator="containsText" text="N">
      <formula>NOT(ISERROR(SEARCH("N",Y99)))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enerateCAR">
                <anchor moveWithCells="1" sizeWithCells="1">
                  <from>
                    <xdr:col>36</xdr:col>
                    <xdr:colOff>121920</xdr:colOff>
                    <xdr:row>1</xdr:row>
                    <xdr:rowOff>30480</xdr:rowOff>
                  </from>
                  <to>
                    <xdr:col>40</xdr:col>
                    <xdr:colOff>480060</xdr:colOff>
                    <xdr:row>3</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6"/>
  <sheetViews>
    <sheetView workbookViewId="0">
      <selection activeCell="D10" sqref="D10"/>
    </sheetView>
  </sheetViews>
  <sheetFormatPr defaultRowHeight="14.4" x14ac:dyDescent="0.3"/>
  <cols>
    <col min="1" max="1" width="31" customWidth="1"/>
    <col min="2" max="2" width="18.77734375" bestFit="1" customWidth="1"/>
    <col min="10" max="10" width="11.21875" bestFit="1" customWidth="1"/>
    <col min="11" max="11" width="10.6640625" customWidth="1"/>
  </cols>
  <sheetData>
    <row r="1" spans="1:11" x14ac:dyDescent="0.3">
      <c r="A1" s="26" t="s">
        <v>881</v>
      </c>
      <c r="B1" s="26" t="s">
        <v>341</v>
      </c>
      <c r="C1" s="26" t="s">
        <v>340</v>
      </c>
    </row>
    <row r="2" spans="1:11" x14ac:dyDescent="0.3">
      <c r="A2" s="111" t="s">
        <v>884</v>
      </c>
      <c r="B2" t="s">
        <v>339</v>
      </c>
      <c r="C2" s="97" t="s">
        <v>1339</v>
      </c>
      <c r="D2" s="97"/>
      <c r="E2" s="97"/>
      <c r="F2" s="97"/>
      <c r="G2" s="97"/>
      <c r="H2" s="97"/>
      <c r="I2" s="97"/>
      <c r="J2" s="110" t="s">
        <v>691</v>
      </c>
      <c r="K2" s="80" t="s">
        <v>1340</v>
      </c>
    </row>
    <row r="3" spans="1:11" x14ac:dyDescent="0.3">
      <c r="A3" s="111" t="s">
        <v>883</v>
      </c>
      <c r="B3" t="s">
        <v>220</v>
      </c>
      <c r="C3" s="97" t="s">
        <v>1339</v>
      </c>
      <c r="D3" s="97"/>
      <c r="E3" s="97"/>
      <c r="F3" s="97"/>
      <c r="G3" s="97"/>
      <c r="H3" s="97"/>
      <c r="I3" s="97"/>
      <c r="J3" s="110" t="s">
        <v>879</v>
      </c>
      <c r="K3" s="80" t="s">
        <v>880</v>
      </c>
    </row>
    <row r="4" spans="1:11" x14ac:dyDescent="0.3">
      <c r="A4" s="111" t="s">
        <v>882</v>
      </c>
      <c r="B4" t="s">
        <v>342</v>
      </c>
      <c r="C4" s="97" t="s">
        <v>1339</v>
      </c>
      <c r="D4" s="97"/>
      <c r="E4" s="97"/>
      <c r="F4" s="97"/>
      <c r="G4" s="97"/>
      <c r="H4" s="97"/>
      <c r="I4" s="97"/>
      <c r="J4" s="97"/>
      <c r="K4" s="97"/>
    </row>
    <row r="5" spans="1:11" x14ac:dyDescent="0.3">
      <c r="A5" s="111" t="s">
        <v>882</v>
      </c>
      <c r="B5" t="s">
        <v>343</v>
      </c>
      <c r="C5" s="97" t="s">
        <v>1339</v>
      </c>
      <c r="D5" s="97"/>
      <c r="E5" s="97"/>
      <c r="F5" s="97"/>
      <c r="G5" s="97"/>
      <c r="H5" s="97"/>
      <c r="I5" s="97"/>
      <c r="J5" s="97"/>
      <c r="K5" s="97"/>
    </row>
    <row r="6" spans="1:11" x14ac:dyDescent="0.3">
      <c r="A6" s="111" t="s">
        <v>885</v>
      </c>
      <c r="B6" t="s">
        <v>344</v>
      </c>
      <c r="C6" s="97" t="s">
        <v>1339</v>
      </c>
      <c r="D6" s="97"/>
      <c r="E6" s="97"/>
      <c r="F6" s="97"/>
      <c r="G6" s="97"/>
      <c r="H6" s="97"/>
      <c r="I6" s="97"/>
      <c r="J6" s="97"/>
      <c r="K6" s="9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H4"/>
  <sheetViews>
    <sheetView workbookViewId="0">
      <selection activeCell="F2" sqref="F2"/>
    </sheetView>
  </sheetViews>
  <sheetFormatPr defaultRowHeight="14.4" x14ac:dyDescent="0.3"/>
  <cols>
    <col min="1" max="1" width="13.109375" bestFit="1" customWidth="1"/>
    <col min="2" max="2" width="11.33203125" bestFit="1" customWidth="1"/>
    <col min="3" max="3" width="80.88671875" bestFit="1" customWidth="1"/>
    <col min="4" max="4" width="11.33203125" bestFit="1" customWidth="1"/>
    <col min="5" max="5" width="15" bestFit="1" customWidth="1"/>
    <col min="6" max="6" width="20" bestFit="1" customWidth="1"/>
    <col min="7" max="7" width="27.44140625" bestFit="1" customWidth="1"/>
    <col min="8" max="8" width="15.77734375" bestFit="1" customWidth="1"/>
    <col min="9" max="9" width="16.109375" bestFit="1" customWidth="1"/>
    <col min="10" max="11" width="10.109375" bestFit="1" customWidth="1"/>
    <col min="12" max="12" width="80.88671875" bestFit="1" customWidth="1"/>
    <col min="13" max="13" width="10.109375" bestFit="1" customWidth="1"/>
    <col min="14" max="14" width="11.6640625" bestFit="1" customWidth="1"/>
    <col min="15" max="15" width="16.109375" bestFit="1" customWidth="1"/>
    <col min="16" max="16" width="12" bestFit="1" customWidth="1"/>
    <col min="17" max="17" width="21.33203125" bestFit="1" customWidth="1"/>
  </cols>
  <sheetData>
    <row r="1" spans="1:8" x14ac:dyDescent="0.3">
      <c r="A1" t="s">
        <v>110</v>
      </c>
      <c r="B1" t="s">
        <v>111</v>
      </c>
      <c r="C1" t="s">
        <v>112</v>
      </c>
      <c r="D1" t="s">
        <v>113</v>
      </c>
      <c r="E1" t="s">
        <v>114</v>
      </c>
      <c r="F1" t="s">
        <v>115</v>
      </c>
      <c r="G1" t="s">
        <v>728</v>
      </c>
      <c r="H1" t="s">
        <v>116</v>
      </c>
    </row>
    <row r="2" spans="1:8" x14ac:dyDescent="0.3">
      <c r="A2" s="89" t="s">
        <v>117</v>
      </c>
      <c r="B2" s="89" t="s">
        <v>739</v>
      </c>
      <c r="C2" s="89" t="s">
        <v>887</v>
      </c>
      <c r="D2" s="89" t="s">
        <v>888</v>
      </c>
      <c r="E2" s="89" t="s">
        <v>119</v>
      </c>
      <c r="F2" s="97">
        <v>3</v>
      </c>
      <c r="G2" s="97">
        <v>100</v>
      </c>
      <c r="H2" s="89" t="s">
        <v>193</v>
      </c>
    </row>
    <row r="3" spans="1:8" x14ac:dyDescent="0.3">
      <c r="A3" s="89" t="s">
        <v>117</v>
      </c>
      <c r="B3" s="89" t="s">
        <v>740</v>
      </c>
      <c r="C3" s="89" t="s">
        <v>889</v>
      </c>
      <c r="D3" s="89" t="s">
        <v>890</v>
      </c>
      <c r="E3" s="89" t="s">
        <v>119</v>
      </c>
      <c r="F3" s="97">
        <v>4</v>
      </c>
      <c r="G3" s="97">
        <v>50</v>
      </c>
      <c r="H3" s="89" t="s">
        <v>193</v>
      </c>
    </row>
    <row r="4" spans="1:8" x14ac:dyDescent="0.3">
      <c r="A4" s="89" t="s">
        <v>117</v>
      </c>
      <c r="B4" s="89" t="s">
        <v>741</v>
      </c>
      <c r="C4" s="89" t="s">
        <v>891</v>
      </c>
      <c r="D4" s="89" t="s">
        <v>890</v>
      </c>
      <c r="E4" s="89" t="s">
        <v>119</v>
      </c>
      <c r="F4" s="97">
        <v>4</v>
      </c>
      <c r="G4" s="97">
        <v>50</v>
      </c>
      <c r="H4" s="89" t="s">
        <v>193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J249"/>
  <sheetViews>
    <sheetView topLeftCell="A218" workbookViewId="0">
      <selection activeCell="B228" sqref="B228"/>
    </sheetView>
  </sheetViews>
  <sheetFormatPr defaultRowHeight="14.4" x14ac:dyDescent="0.3"/>
  <cols>
    <col min="1" max="1" width="20.77734375" bestFit="1" customWidth="1"/>
    <col min="2" max="2" width="34.109375" bestFit="1" customWidth="1"/>
    <col min="3" max="3" width="9.44140625" bestFit="1" customWidth="1"/>
    <col min="4" max="4" width="9" style="97" bestFit="1" customWidth="1"/>
    <col min="5" max="5" width="9.109375" style="97" bestFit="1" customWidth="1"/>
    <col min="6" max="6" width="9.33203125" style="97" bestFit="1" customWidth="1"/>
    <col min="7" max="7" width="8.6640625" style="97" bestFit="1" customWidth="1"/>
    <col min="8" max="8" width="9.33203125" style="97" bestFit="1" customWidth="1"/>
    <col min="9" max="9" width="8.6640625" style="97" bestFit="1" customWidth="1"/>
    <col min="10" max="10" width="8.33203125" style="88" bestFit="1" customWidth="1"/>
    <col min="11" max="11" width="9.21875" bestFit="1" customWidth="1"/>
    <col min="12" max="13" width="8.33203125" bestFit="1" customWidth="1"/>
    <col min="14" max="16" width="9.109375" bestFit="1" customWidth="1"/>
    <col min="17" max="17" width="8.33203125" bestFit="1" customWidth="1"/>
    <col min="18" max="18" width="9.21875" bestFit="1" customWidth="1"/>
    <col min="19" max="19" width="9.109375" bestFit="1" customWidth="1"/>
    <col min="20" max="20" width="10" bestFit="1" customWidth="1"/>
    <col min="21" max="21" width="9.109375" customWidth="1"/>
    <col min="22" max="23" width="9.109375" bestFit="1" customWidth="1"/>
    <col min="24" max="26" width="8.33203125" bestFit="1" customWidth="1"/>
    <col min="27" max="27" width="9" bestFit="1" customWidth="1"/>
    <col min="28" max="28" width="8.33203125" bestFit="1" customWidth="1"/>
    <col min="29" max="29" width="9.21875" bestFit="1" customWidth="1"/>
    <col min="30" max="32" width="9" bestFit="1" customWidth="1"/>
    <col min="33" max="33" width="9.109375" bestFit="1" customWidth="1"/>
    <col min="34" max="35" width="8.33203125" bestFit="1" customWidth="1"/>
    <col min="36" max="36" width="9.21875" bestFit="1" customWidth="1"/>
    <col min="37" max="37" width="8.33203125" bestFit="1" customWidth="1"/>
    <col min="38" max="38" width="9.21875" bestFit="1" customWidth="1"/>
    <col min="39" max="39" width="8.33203125" bestFit="1" customWidth="1"/>
    <col min="40" max="40" width="9" bestFit="1" customWidth="1"/>
    <col min="41" max="42" width="9.21875" bestFit="1" customWidth="1"/>
    <col min="43" max="43" width="8.33203125" bestFit="1" customWidth="1"/>
    <col min="44" max="44" width="9.21875" bestFit="1" customWidth="1"/>
    <col min="45" max="47" width="8.33203125" bestFit="1" customWidth="1"/>
    <col min="48" max="48" width="9" bestFit="1" customWidth="1"/>
    <col min="49" max="50" width="8.33203125" bestFit="1" customWidth="1"/>
    <col min="51" max="51" width="9.21875" bestFit="1" customWidth="1"/>
    <col min="52" max="52" width="8.33203125" bestFit="1" customWidth="1"/>
    <col min="53" max="53" width="9.21875" bestFit="1" customWidth="1"/>
    <col min="54" max="54" width="8.33203125" bestFit="1" customWidth="1"/>
    <col min="55" max="55" width="9.21875" bestFit="1" customWidth="1"/>
    <col min="56" max="57" width="9" bestFit="1" customWidth="1"/>
    <col min="58" max="58" width="9.88671875" bestFit="1" customWidth="1"/>
    <col min="59" max="59" width="8.33203125" bestFit="1" customWidth="1"/>
    <col min="60" max="60" width="9.21875" bestFit="1" customWidth="1"/>
    <col min="61" max="62" width="8.33203125" bestFit="1" customWidth="1"/>
    <col min="63" max="63" width="9.21875" bestFit="1" customWidth="1"/>
    <col min="64" max="68" width="8.33203125" bestFit="1" customWidth="1"/>
    <col min="69" max="69" width="9.21875" bestFit="1" customWidth="1"/>
    <col min="70" max="72" width="8.33203125" bestFit="1" customWidth="1"/>
    <col min="73" max="73" width="9.21875" bestFit="1" customWidth="1"/>
    <col min="74" max="77" width="8.33203125" bestFit="1" customWidth="1"/>
    <col min="78" max="80" width="9.21875" bestFit="1" customWidth="1"/>
    <col min="81" max="82" width="8.33203125" bestFit="1" customWidth="1"/>
    <col min="83" max="83" width="9.21875" bestFit="1" customWidth="1"/>
    <col min="84" max="87" width="8.33203125" bestFit="1" customWidth="1"/>
    <col min="88" max="88" width="17.109375" bestFit="1" customWidth="1"/>
    <col min="89" max="96" width="10.109375" bestFit="1" customWidth="1"/>
    <col min="97" max="151" width="11.109375" bestFit="1" customWidth="1"/>
    <col min="152" max="152" width="20" bestFit="1" customWidth="1"/>
    <col min="153" max="153" width="7.77734375" bestFit="1" customWidth="1"/>
    <col min="154" max="154" width="8.33203125" bestFit="1" customWidth="1"/>
    <col min="155" max="155" width="9" bestFit="1" customWidth="1"/>
    <col min="156" max="156" width="8.33203125" bestFit="1" customWidth="1"/>
    <col min="157" max="157" width="9.21875" bestFit="1" customWidth="1"/>
    <col min="158" max="160" width="9" bestFit="1" customWidth="1"/>
    <col min="161" max="161" width="9.109375" bestFit="1" customWidth="1"/>
    <col min="162" max="163" width="8.33203125" bestFit="1" customWidth="1"/>
    <col min="164" max="164" width="9.21875" bestFit="1" customWidth="1"/>
    <col min="165" max="165" width="8.33203125" bestFit="1" customWidth="1"/>
    <col min="166" max="166" width="9.21875" bestFit="1" customWidth="1"/>
    <col min="167" max="167" width="8.33203125" bestFit="1" customWidth="1"/>
    <col min="168" max="168" width="9" bestFit="1" customWidth="1"/>
    <col min="169" max="170" width="9.21875" bestFit="1" customWidth="1"/>
    <col min="171" max="171" width="8.33203125" bestFit="1" customWidth="1"/>
    <col min="172" max="172" width="9.21875" bestFit="1" customWidth="1"/>
    <col min="173" max="175" width="8.33203125" bestFit="1" customWidth="1"/>
    <col min="176" max="176" width="9" bestFit="1" customWidth="1"/>
    <col min="177" max="178" width="8.33203125" bestFit="1" customWidth="1"/>
    <col min="179" max="179" width="9.21875" bestFit="1" customWidth="1"/>
    <col min="180" max="180" width="8.33203125" bestFit="1" customWidth="1"/>
    <col min="181" max="181" width="9.21875" bestFit="1" customWidth="1"/>
    <col min="182" max="182" width="8.33203125" bestFit="1" customWidth="1"/>
    <col min="183" max="183" width="9.21875" bestFit="1" customWidth="1"/>
    <col min="184" max="185" width="9" bestFit="1" customWidth="1"/>
    <col min="186" max="186" width="9.88671875" bestFit="1" customWidth="1"/>
    <col min="187" max="187" width="8.33203125" bestFit="1" customWidth="1"/>
    <col min="188" max="188" width="9.21875" bestFit="1" customWidth="1"/>
    <col min="189" max="190" width="8.33203125" bestFit="1" customWidth="1"/>
    <col min="191" max="191" width="9.21875" bestFit="1" customWidth="1"/>
    <col min="192" max="196" width="8.33203125" bestFit="1" customWidth="1"/>
    <col min="197" max="197" width="9.21875" bestFit="1" customWidth="1"/>
    <col min="198" max="200" width="8.33203125" bestFit="1" customWidth="1"/>
    <col min="201" max="201" width="9.21875" bestFit="1" customWidth="1"/>
    <col min="202" max="205" width="8.33203125" bestFit="1" customWidth="1"/>
    <col min="206" max="208" width="9.21875" bestFit="1" customWidth="1"/>
    <col min="209" max="210" width="8.33203125" bestFit="1" customWidth="1"/>
    <col min="211" max="211" width="9.21875" bestFit="1" customWidth="1"/>
    <col min="212" max="215" width="8.33203125" bestFit="1" customWidth="1"/>
  </cols>
  <sheetData>
    <row r="1" spans="1:10" x14ac:dyDescent="0.3">
      <c r="A1" t="s">
        <v>187</v>
      </c>
      <c r="B1" t="s">
        <v>188</v>
      </c>
      <c r="C1" t="s">
        <v>368</v>
      </c>
      <c r="D1" t="s">
        <v>117</v>
      </c>
      <c r="E1"/>
      <c r="F1"/>
      <c r="G1"/>
      <c r="H1"/>
      <c r="I1"/>
      <c r="J1"/>
    </row>
    <row r="2" spans="1:10" x14ac:dyDescent="0.3">
      <c r="A2" s="89" t="s">
        <v>892</v>
      </c>
      <c r="B2" s="89" t="s">
        <v>893</v>
      </c>
      <c r="C2" s="89" t="s">
        <v>241</v>
      </c>
      <c r="D2" s="89" t="s">
        <v>213</v>
      </c>
      <c r="E2"/>
      <c r="F2"/>
      <c r="G2"/>
      <c r="H2"/>
      <c r="I2"/>
      <c r="J2"/>
    </row>
    <row r="3" spans="1:10" x14ac:dyDescent="0.3">
      <c r="A3" s="89" t="s">
        <v>894</v>
      </c>
      <c r="B3" s="89" t="s">
        <v>895</v>
      </c>
      <c r="C3" s="89" t="s">
        <v>241</v>
      </c>
      <c r="D3" s="89" t="s">
        <v>213</v>
      </c>
      <c r="E3"/>
      <c r="F3"/>
      <c r="G3"/>
      <c r="H3"/>
      <c r="I3"/>
      <c r="J3"/>
    </row>
    <row r="4" spans="1:10" x14ac:dyDescent="0.3">
      <c r="A4" s="89" t="s">
        <v>896</v>
      </c>
      <c r="B4" s="89" t="s">
        <v>897</v>
      </c>
      <c r="C4" s="89" t="s">
        <v>241</v>
      </c>
      <c r="D4" s="89" t="s">
        <v>213</v>
      </c>
      <c r="E4"/>
      <c r="F4"/>
      <c r="G4"/>
      <c r="H4"/>
      <c r="I4"/>
      <c r="J4"/>
    </row>
    <row r="5" spans="1:10" x14ac:dyDescent="0.3">
      <c r="A5" s="89" t="s">
        <v>898</v>
      </c>
      <c r="B5" s="89" t="s">
        <v>899</v>
      </c>
      <c r="C5" s="89" t="s">
        <v>241</v>
      </c>
      <c r="D5" s="89" t="s">
        <v>213</v>
      </c>
      <c r="E5"/>
      <c r="F5"/>
      <c r="G5"/>
      <c r="H5"/>
      <c r="I5"/>
      <c r="J5"/>
    </row>
    <row r="6" spans="1:10" x14ac:dyDescent="0.3">
      <c r="A6" s="89" t="s">
        <v>900</v>
      </c>
      <c r="B6" s="89" t="s">
        <v>901</v>
      </c>
      <c r="C6" s="89" t="s">
        <v>241</v>
      </c>
      <c r="D6" s="89" t="s">
        <v>213</v>
      </c>
      <c r="E6"/>
      <c r="F6"/>
      <c r="G6"/>
      <c r="H6"/>
      <c r="I6"/>
      <c r="J6"/>
    </row>
    <row r="7" spans="1:10" x14ac:dyDescent="0.3">
      <c r="A7" s="89" t="s">
        <v>902</v>
      </c>
      <c r="B7" s="89" t="s">
        <v>903</v>
      </c>
      <c r="C7" s="89" t="s">
        <v>241</v>
      </c>
      <c r="D7" s="89" t="s">
        <v>213</v>
      </c>
      <c r="E7"/>
      <c r="F7"/>
      <c r="G7"/>
      <c r="H7"/>
      <c r="I7"/>
      <c r="J7"/>
    </row>
    <row r="8" spans="1:10" x14ac:dyDescent="0.3">
      <c r="A8" s="89" t="s">
        <v>904</v>
      </c>
      <c r="B8" s="89" t="s">
        <v>905</v>
      </c>
      <c r="C8" s="89" t="s">
        <v>241</v>
      </c>
      <c r="D8" s="89" t="s">
        <v>213</v>
      </c>
      <c r="E8"/>
      <c r="F8"/>
      <c r="G8"/>
      <c r="H8"/>
      <c r="I8"/>
      <c r="J8"/>
    </row>
    <row r="9" spans="1:10" x14ac:dyDescent="0.3">
      <c r="A9" s="89" t="s">
        <v>906</v>
      </c>
      <c r="B9" s="89" t="s">
        <v>907</v>
      </c>
      <c r="C9" s="89" t="s">
        <v>241</v>
      </c>
      <c r="D9" s="89" t="s">
        <v>213</v>
      </c>
      <c r="E9"/>
      <c r="F9"/>
      <c r="G9"/>
      <c r="H9"/>
      <c r="I9"/>
      <c r="J9"/>
    </row>
    <row r="10" spans="1:10" x14ac:dyDescent="0.3">
      <c r="A10" s="89" t="s">
        <v>908</v>
      </c>
      <c r="B10" s="89" t="s">
        <v>909</v>
      </c>
      <c r="C10" s="89" t="s">
        <v>241</v>
      </c>
      <c r="D10" s="89" t="s">
        <v>213</v>
      </c>
      <c r="E10"/>
      <c r="F10"/>
      <c r="G10"/>
      <c r="H10"/>
      <c r="I10"/>
      <c r="J10"/>
    </row>
    <row r="11" spans="1:10" x14ac:dyDescent="0.3">
      <c r="A11" s="89" t="s">
        <v>910</v>
      </c>
      <c r="B11" s="89" t="s">
        <v>911</v>
      </c>
      <c r="C11" s="89" t="s">
        <v>241</v>
      </c>
      <c r="D11" s="89" t="s">
        <v>213</v>
      </c>
      <c r="E11"/>
      <c r="F11"/>
      <c r="G11"/>
      <c r="H11"/>
      <c r="I11"/>
      <c r="J11"/>
    </row>
    <row r="12" spans="1:10" x14ac:dyDescent="0.3">
      <c r="A12" s="89" t="s">
        <v>912</v>
      </c>
      <c r="B12" s="89" t="s">
        <v>913</v>
      </c>
      <c r="C12" s="89" t="s">
        <v>241</v>
      </c>
      <c r="D12" s="89" t="s">
        <v>213</v>
      </c>
      <c r="E12"/>
      <c r="F12"/>
      <c r="G12"/>
      <c r="H12"/>
      <c r="I12"/>
      <c r="J12"/>
    </row>
    <row r="13" spans="1:10" x14ac:dyDescent="0.3">
      <c r="A13" s="89" t="s">
        <v>914</v>
      </c>
      <c r="B13" s="89" t="s">
        <v>915</v>
      </c>
      <c r="C13" s="89" t="s">
        <v>241</v>
      </c>
      <c r="D13" s="89" t="s">
        <v>213</v>
      </c>
      <c r="E13"/>
      <c r="F13"/>
      <c r="G13"/>
      <c r="H13"/>
      <c r="I13"/>
      <c r="J13"/>
    </row>
    <row r="14" spans="1:10" x14ac:dyDescent="0.3">
      <c r="A14" s="89" t="s">
        <v>916</v>
      </c>
      <c r="B14" s="89" t="s">
        <v>917</v>
      </c>
      <c r="C14" s="89" t="s">
        <v>241</v>
      </c>
      <c r="D14" s="89" t="s">
        <v>213</v>
      </c>
      <c r="E14"/>
      <c r="F14"/>
      <c r="G14"/>
      <c r="H14"/>
      <c r="I14"/>
      <c r="J14"/>
    </row>
    <row r="15" spans="1:10" x14ac:dyDescent="0.3">
      <c r="A15" s="89" t="s">
        <v>918</v>
      </c>
      <c r="B15" s="89" t="s">
        <v>919</v>
      </c>
      <c r="C15" s="89" t="s">
        <v>241</v>
      </c>
      <c r="D15" s="89" t="s">
        <v>213</v>
      </c>
      <c r="E15"/>
      <c r="F15"/>
      <c r="G15"/>
      <c r="H15"/>
      <c r="I15"/>
      <c r="J15"/>
    </row>
    <row r="16" spans="1:10" x14ac:dyDescent="0.3">
      <c r="A16" s="89" t="s">
        <v>920</v>
      </c>
      <c r="B16" s="89" t="s">
        <v>921</v>
      </c>
      <c r="C16" s="89" t="s">
        <v>241</v>
      </c>
      <c r="D16" s="89" t="s">
        <v>213</v>
      </c>
      <c r="E16"/>
      <c r="F16"/>
      <c r="G16"/>
      <c r="H16"/>
      <c r="I16"/>
      <c r="J16"/>
    </row>
    <row r="17" spans="1:10" x14ac:dyDescent="0.3">
      <c r="A17" s="89" t="s">
        <v>922</v>
      </c>
      <c r="B17" s="89" t="s">
        <v>923</v>
      </c>
      <c r="C17" s="89" t="s">
        <v>241</v>
      </c>
      <c r="D17" s="89" t="s">
        <v>213</v>
      </c>
      <c r="E17"/>
      <c r="F17"/>
      <c r="G17"/>
      <c r="H17"/>
      <c r="I17"/>
      <c r="J17"/>
    </row>
    <row r="18" spans="1:10" x14ac:dyDescent="0.3">
      <c r="A18" s="89" t="s">
        <v>924</v>
      </c>
      <c r="B18" s="89" t="s">
        <v>925</v>
      </c>
      <c r="C18" s="89" t="s">
        <v>241</v>
      </c>
      <c r="D18" s="89" t="s">
        <v>213</v>
      </c>
      <c r="E18"/>
      <c r="F18"/>
      <c r="G18"/>
      <c r="H18"/>
      <c r="I18"/>
      <c r="J18"/>
    </row>
    <row r="19" spans="1:10" x14ac:dyDescent="0.3">
      <c r="A19" s="89" t="s">
        <v>926</v>
      </c>
      <c r="B19" s="89" t="s">
        <v>927</v>
      </c>
      <c r="C19" s="89" t="s">
        <v>241</v>
      </c>
      <c r="D19" s="89" t="s">
        <v>213</v>
      </c>
      <c r="E19"/>
      <c r="F19"/>
      <c r="G19"/>
      <c r="H19"/>
      <c r="I19"/>
      <c r="J19"/>
    </row>
    <row r="20" spans="1:10" x14ac:dyDescent="0.3">
      <c r="A20" s="89" t="s">
        <v>928</v>
      </c>
      <c r="B20" s="89" t="s">
        <v>929</v>
      </c>
      <c r="C20" s="89" t="s">
        <v>241</v>
      </c>
      <c r="D20" s="89" t="s">
        <v>213</v>
      </c>
      <c r="E20"/>
      <c r="F20"/>
      <c r="G20"/>
      <c r="H20"/>
      <c r="I20"/>
      <c r="J20"/>
    </row>
    <row r="21" spans="1:10" x14ac:dyDescent="0.3">
      <c r="A21" s="89" t="s">
        <v>930</v>
      </c>
      <c r="B21" s="89" t="s">
        <v>931</v>
      </c>
      <c r="C21" s="89" t="s">
        <v>241</v>
      </c>
      <c r="D21" s="89" t="s">
        <v>213</v>
      </c>
      <c r="E21"/>
      <c r="F21"/>
      <c r="G21"/>
      <c r="H21"/>
      <c r="I21"/>
      <c r="J21"/>
    </row>
    <row r="22" spans="1:10" x14ac:dyDescent="0.3">
      <c r="A22" s="89" t="s">
        <v>932</v>
      </c>
      <c r="B22" s="89" t="s">
        <v>933</v>
      </c>
      <c r="C22" s="89" t="s">
        <v>241</v>
      </c>
      <c r="D22" s="89" t="s">
        <v>213</v>
      </c>
      <c r="E22"/>
      <c r="F22"/>
      <c r="G22"/>
      <c r="H22"/>
      <c r="I22"/>
      <c r="J22"/>
    </row>
    <row r="23" spans="1:10" x14ac:dyDescent="0.3">
      <c r="A23" s="89" t="s">
        <v>934</v>
      </c>
      <c r="B23" s="89" t="s">
        <v>935</v>
      </c>
      <c r="C23" s="89" t="s">
        <v>241</v>
      </c>
      <c r="D23" s="89" t="s">
        <v>213</v>
      </c>
      <c r="E23"/>
      <c r="F23"/>
      <c r="G23"/>
      <c r="H23"/>
      <c r="I23"/>
      <c r="J23"/>
    </row>
    <row r="24" spans="1:10" x14ac:dyDescent="0.3">
      <c r="A24" s="89" t="s">
        <v>936</v>
      </c>
      <c r="B24" s="89" t="s">
        <v>937</v>
      </c>
      <c r="C24" s="89" t="s">
        <v>241</v>
      </c>
      <c r="D24" s="89" t="s">
        <v>213</v>
      </c>
      <c r="E24"/>
      <c r="F24"/>
      <c r="G24"/>
      <c r="H24"/>
      <c r="I24"/>
      <c r="J24"/>
    </row>
    <row r="25" spans="1:10" x14ac:dyDescent="0.3">
      <c r="A25" s="89" t="s">
        <v>938</v>
      </c>
      <c r="B25" s="89" t="s">
        <v>939</v>
      </c>
      <c r="C25" s="89" t="s">
        <v>241</v>
      </c>
      <c r="D25" s="89" t="s">
        <v>213</v>
      </c>
      <c r="E25"/>
      <c r="F25"/>
      <c r="G25"/>
      <c r="H25"/>
      <c r="I25"/>
      <c r="J25"/>
    </row>
    <row r="26" spans="1:10" x14ac:dyDescent="0.3">
      <c r="A26" s="89" t="s">
        <v>940</v>
      </c>
      <c r="B26" s="89" t="s">
        <v>941</v>
      </c>
      <c r="C26" s="89" t="s">
        <v>241</v>
      </c>
      <c r="D26" s="89" t="s">
        <v>213</v>
      </c>
      <c r="E26"/>
      <c r="F26"/>
      <c r="G26"/>
      <c r="H26"/>
      <c r="I26"/>
      <c r="J26"/>
    </row>
    <row r="27" spans="1:10" x14ac:dyDescent="0.3">
      <c r="A27" s="89" t="s">
        <v>942</v>
      </c>
      <c r="B27" s="89" t="s">
        <v>943</v>
      </c>
      <c r="C27" s="89" t="s">
        <v>241</v>
      </c>
      <c r="D27" s="89" t="s">
        <v>213</v>
      </c>
      <c r="E27"/>
      <c r="F27"/>
      <c r="G27"/>
      <c r="H27"/>
      <c r="I27"/>
      <c r="J27"/>
    </row>
    <row r="28" spans="1:10" x14ac:dyDescent="0.3">
      <c r="A28" s="89" t="s">
        <v>944</v>
      </c>
      <c r="B28" s="89" t="s">
        <v>945</v>
      </c>
      <c r="C28" s="89" t="s">
        <v>241</v>
      </c>
      <c r="D28" s="89" t="s">
        <v>213</v>
      </c>
      <c r="E28"/>
      <c r="F28"/>
      <c r="G28"/>
      <c r="H28"/>
      <c r="I28"/>
      <c r="J28"/>
    </row>
    <row r="29" spans="1:10" x14ac:dyDescent="0.3">
      <c r="A29" s="89" t="s">
        <v>946</v>
      </c>
      <c r="B29" s="89" t="s">
        <v>947</v>
      </c>
      <c r="C29" s="89" t="s">
        <v>241</v>
      </c>
      <c r="D29" s="89" t="s">
        <v>213</v>
      </c>
      <c r="E29"/>
      <c r="F29"/>
      <c r="G29"/>
      <c r="H29"/>
      <c r="I29"/>
      <c r="J29"/>
    </row>
    <row r="30" spans="1:10" x14ac:dyDescent="0.3">
      <c r="A30" s="89" t="s">
        <v>948</v>
      </c>
      <c r="B30" s="89" t="s">
        <v>949</v>
      </c>
      <c r="C30" s="89" t="s">
        <v>241</v>
      </c>
      <c r="D30" s="89" t="s">
        <v>213</v>
      </c>
      <c r="E30"/>
      <c r="F30"/>
      <c r="G30"/>
      <c r="H30"/>
      <c r="I30"/>
      <c r="J30"/>
    </row>
    <row r="31" spans="1:10" x14ac:dyDescent="0.3">
      <c r="A31" s="89" t="s">
        <v>950</v>
      </c>
      <c r="B31" s="89" t="s">
        <v>951</v>
      </c>
      <c r="C31" s="89" t="s">
        <v>241</v>
      </c>
      <c r="D31" s="89" t="s">
        <v>213</v>
      </c>
      <c r="E31"/>
      <c r="F31"/>
      <c r="G31"/>
      <c r="H31"/>
      <c r="I31"/>
      <c r="J31"/>
    </row>
    <row r="32" spans="1:10" x14ac:dyDescent="0.3">
      <c r="A32" s="89" t="s">
        <v>952</v>
      </c>
      <c r="B32" s="89" t="s">
        <v>953</v>
      </c>
      <c r="C32" s="89" t="s">
        <v>241</v>
      </c>
      <c r="D32" s="89" t="s">
        <v>213</v>
      </c>
      <c r="E32"/>
      <c r="F32"/>
      <c r="G32"/>
      <c r="H32"/>
      <c r="I32"/>
      <c r="J32"/>
    </row>
    <row r="33" spans="1:10" x14ac:dyDescent="0.3">
      <c r="A33" s="89" t="s">
        <v>954</v>
      </c>
      <c r="B33" s="89" t="s">
        <v>903</v>
      </c>
      <c r="C33" s="89" t="s">
        <v>241</v>
      </c>
      <c r="D33" s="89" t="s">
        <v>213</v>
      </c>
      <c r="E33"/>
      <c r="F33"/>
      <c r="G33"/>
      <c r="H33"/>
      <c r="I33"/>
      <c r="J33"/>
    </row>
    <row r="34" spans="1:10" x14ac:dyDescent="0.3">
      <c r="A34" s="89" t="s">
        <v>955</v>
      </c>
      <c r="B34" s="89" t="s">
        <v>956</v>
      </c>
      <c r="C34" s="89" t="s">
        <v>241</v>
      </c>
      <c r="D34" s="89" t="s">
        <v>213</v>
      </c>
      <c r="E34"/>
      <c r="F34"/>
      <c r="G34"/>
      <c r="H34"/>
      <c r="I34"/>
      <c r="J34"/>
    </row>
    <row r="35" spans="1:10" x14ac:dyDescent="0.3">
      <c r="A35" s="89" t="s">
        <v>957</v>
      </c>
      <c r="B35" s="89" t="s">
        <v>939</v>
      </c>
      <c r="C35" s="89" t="s">
        <v>241</v>
      </c>
      <c r="D35" s="89" t="s">
        <v>213</v>
      </c>
      <c r="E35"/>
      <c r="F35"/>
      <c r="G35"/>
      <c r="H35"/>
      <c r="I35"/>
      <c r="J35"/>
    </row>
    <row r="36" spans="1:10" x14ac:dyDescent="0.3">
      <c r="A36" s="89" t="s">
        <v>958</v>
      </c>
      <c r="B36" s="89" t="s">
        <v>959</v>
      </c>
      <c r="C36" s="89" t="s">
        <v>241</v>
      </c>
      <c r="D36" s="89" t="s">
        <v>213</v>
      </c>
      <c r="E36"/>
      <c r="F36"/>
      <c r="G36"/>
      <c r="H36"/>
      <c r="I36"/>
      <c r="J36"/>
    </row>
    <row r="37" spans="1:10" x14ac:dyDescent="0.3">
      <c r="A37" s="89" t="s">
        <v>960</v>
      </c>
      <c r="B37" s="89" t="s">
        <v>961</v>
      </c>
      <c r="C37" s="89" t="s">
        <v>241</v>
      </c>
      <c r="D37" s="89" t="s">
        <v>213</v>
      </c>
      <c r="E37"/>
      <c r="F37"/>
      <c r="G37"/>
      <c r="H37"/>
      <c r="I37"/>
      <c r="J37"/>
    </row>
    <row r="38" spans="1:10" x14ac:dyDescent="0.3">
      <c r="A38" s="89" t="s">
        <v>962</v>
      </c>
      <c r="B38" s="89" t="s">
        <v>963</v>
      </c>
      <c r="C38" s="89" t="s">
        <v>241</v>
      </c>
      <c r="D38" s="89" t="s">
        <v>213</v>
      </c>
      <c r="E38"/>
      <c r="F38"/>
      <c r="G38"/>
      <c r="H38"/>
      <c r="I38"/>
      <c r="J38"/>
    </row>
    <row r="39" spans="1:10" x14ac:dyDescent="0.3">
      <c r="A39" s="89" t="s">
        <v>964</v>
      </c>
      <c r="B39" s="89" t="s">
        <v>965</v>
      </c>
      <c r="C39" s="89" t="s">
        <v>241</v>
      </c>
      <c r="D39" s="89" t="s">
        <v>213</v>
      </c>
      <c r="E39"/>
      <c r="F39"/>
      <c r="G39"/>
      <c r="H39"/>
      <c r="I39"/>
      <c r="J39"/>
    </row>
    <row r="40" spans="1:10" x14ac:dyDescent="0.3">
      <c r="A40" s="89" t="s">
        <v>966</v>
      </c>
      <c r="B40" s="89" t="s">
        <v>967</v>
      </c>
      <c r="C40" s="89" t="s">
        <v>241</v>
      </c>
      <c r="D40" s="89" t="s">
        <v>213</v>
      </c>
      <c r="E40"/>
      <c r="F40"/>
      <c r="G40"/>
      <c r="H40"/>
      <c r="I40"/>
      <c r="J40"/>
    </row>
    <row r="41" spans="1:10" x14ac:dyDescent="0.3">
      <c r="A41" s="89" t="s">
        <v>968</v>
      </c>
      <c r="B41" s="89" t="s">
        <v>969</v>
      </c>
      <c r="C41" s="89" t="s">
        <v>241</v>
      </c>
      <c r="D41" s="89" t="s">
        <v>213</v>
      </c>
      <c r="E41"/>
      <c r="F41"/>
      <c r="G41"/>
      <c r="H41"/>
      <c r="I41"/>
      <c r="J41"/>
    </row>
    <row r="42" spans="1:10" x14ac:dyDescent="0.3">
      <c r="A42" s="89" t="s">
        <v>970</v>
      </c>
      <c r="B42" s="89" t="s">
        <v>971</v>
      </c>
      <c r="C42" s="89" t="s">
        <v>241</v>
      </c>
      <c r="D42" s="89" t="s">
        <v>213</v>
      </c>
      <c r="E42"/>
      <c r="F42"/>
      <c r="G42"/>
      <c r="H42"/>
      <c r="I42"/>
      <c r="J42"/>
    </row>
    <row r="43" spans="1:10" x14ac:dyDescent="0.3">
      <c r="A43" s="89" t="s">
        <v>972</v>
      </c>
      <c r="B43" s="89" t="s">
        <v>973</v>
      </c>
      <c r="C43" s="89" t="s">
        <v>241</v>
      </c>
      <c r="D43" s="89" t="s">
        <v>213</v>
      </c>
      <c r="E43"/>
      <c r="F43"/>
      <c r="G43"/>
      <c r="H43"/>
      <c r="I43"/>
      <c r="J43"/>
    </row>
    <row r="44" spans="1:10" x14ac:dyDescent="0.3">
      <c r="A44" s="89" t="s">
        <v>974</v>
      </c>
      <c r="B44" s="89" t="s">
        <v>975</v>
      </c>
      <c r="C44" s="89" t="s">
        <v>241</v>
      </c>
      <c r="D44" s="89" t="s">
        <v>213</v>
      </c>
      <c r="E44"/>
      <c r="F44"/>
      <c r="G44"/>
      <c r="H44"/>
      <c r="I44"/>
      <c r="J44"/>
    </row>
    <row r="45" spans="1:10" x14ac:dyDescent="0.3">
      <c r="A45" s="89" t="s">
        <v>976</v>
      </c>
      <c r="B45" s="89" t="s">
        <v>977</v>
      </c>
      <c r="C45" s="89" t="s">
        <v>241</v>
      </c>
      <c r="D45" s="89" t="s">
        <v>213</v>
      </c>
      <c r="E45"/>
      <c r="F45"/>
      <c r="G45"/>
      <c r="H45"/>
      <c r="I45"/>
      <c r="J45"/>
    </row>
    <row r="46" spans="1:10" x14ac:dyDescent="0.3">
      <c r="A46" s="89" t="s">
        <v>978</v>
      </c>
      <c r="B46" s="89" t="s">
        <v>979</v>
      </c>
      <c r="C46" s="89" t="s">
        <v>240</v>
      </c>
      <c r="D46" s="89" t="s">
        <v>213</v>
      </c>
      <c r="E46"/>
      <c r="F46"/>
      <c r="G46"/>
      <c r="H46"/>
      <c r="I46"/>
      <c r="J46"/>
    </row>
    <row r="47" spans="1:10" x14ac:dyDescent="0.3">
      <c r="A47" s="89" t="s">
        <v>980</v>
      </c>
      <c r="B47" s="89" t="s">
        <v>981</v>
      </c>
      <c r="C47" s="89" t="s">
        <v>240</v>
      </c>
      <c r="D47" s="89" t="s">
        <v>213</v>
      </c>
      <c r="E47"/>
      <c r="F47"/>
      <c r="G47"/>
      <c r="H47"/>
      <c r="I47"/>
      <c r="J47"/>
    </row>
    <row r="48" spans="1:10" x14ac:dyDescent="0.3">
      <c r="A48" s="89" t="s">
        <v>982</v>
      </c>
      <c r="B48" s="89" t="s">
        <v>983</v>
      </c>
      <c r="C48" s="89" t="s">
        <v>240</v>
      </c>
      <c r="D48" s="89" t="s">
        <v>213</v>
      </c>
      <c r="E48"/>
      <c r="F48"/>
      <c r="G48"/>
      <c r="H48"/>
      <c r="I48"/>
      <c r="J48"/>
    </row>
    <row r="49" spans="1:10" x14ac:dyDescent="0.3">
      <c r="A49" s="89" t="s">
        <v>984</v>
      </c>
      <c r="B49" s="89" t="s">
        <v>985</v>
      </c>
      <c r="C49" s="89" t="s">
        <v>240</v>
      </c>
      <c r="D49" s="89" t="s">
        <v>213</v>
      </c>
      <c r="E49"/>
      <c r="F49"/>
      <c r="G49"/>
      <c r="H49"/>
      <c r="I49"/>
      <c r="J49"/>
    </row>
    <row r="50" spans="1:10" x14ac:dyDescent="0.3">
      <c r="A50" s="89" t="s">
        <v>986</v>
      </c>
      <c r="B50" s="89" t="s">
        <v>987</v>
      </c>
      <c r="C50" s="89" t="s">
        <v>240</v>
      </c>
      <c r="D50" s="89" t="s">
        <v>213</v>
      </c>
      <c r="E50"/>
      <c r="F50"/>
      <c r="G50"/>
      <c r="H50"/>
      <c r="I50"/>
      <c r="J50"/>
    </row>
    <row r="51" spans="1:10" x14ac:dyDescent="0.3">
      <c r="A51" s="89" t="s">
        <v>988</v>
      </c>
      <c r="B51" s="89" t="s">
        <v>989</v>
      </c>
      <c r="C51" s="89" t="s">
        <v>240</v>
      </c>
      <c r="D51" s="89" t="s">
        <v>213</v>
      </c>
      <c r="E51"/>
      <c r="F51"/>
      <c r="G51"/>
      <c r="H51"/>
      <c r="I51"/>
      <c r="J51"/>
    </row>
    <row r="52" spans="1:10" x14ac:dyDescent="0.3">
      <c r="A52" s="89" t="s">
        <v>990</v>
      </c>
      <c r="B52" s="89" t="s">
        <v>991</v>
      </c>
      <c r="C52" s="89" t="s">
        <v>240</v>
      </c>
      <c r="D52" s="89" t="s">
        <v>213</v>
      </c>
      <c r="E52"/>
      <c r="F52"/>
      <c r="G52"/>
      <c r="H52"/>
      <c r="I52"/>
      <c r="J52"/>
    </row>
    <row r="53" spans="1:10" x14ac:dyDescent="0.3">
      <c r="A53" s="89" t="s">
        <v>992</v>
      </c>
      <c r="B53" s="89" t="s">
        <v>993</v>
      </c>
      <c r="C53" s="89" t="s">
        <v>240</v>
      </c>
      <c r="D53" s="89" t="s">
        <v>213</v>
      </c>
      <c r="E53"/>
      <c r="F53"/>
      <c r="G53"/>
      <c r="H53"/>
      <c r="I53"/>
      <c r="J53"/>
    </row>
    <row r="54" spans="1:10" x14ac:dyDescent="0.3">
      <c r="A54" s="89" t="s">
        <v>994</v>
      </c>
      <c r="B54" s="89" t="s">
        <v>995</v>
      </c>
      <c r="C54" s="89" t="s">
        <v>240</v>
      </c>
      <c r="D54" s="89" t="s">
        <v>213</v>
      </c>
      <c r="E54"/>
      <c r="F54"/>
      <c r="G54"/>
      <c r="H54"/>
      <c r="I54"/>
      <c r="J54"/>
    </row>
    <row r="55" spans="1:10" x14ac:dyDescent="0.3">
      <c r="A55" s="89" t="s">
        <v>996</v>
      </c>
      <c r="B55" s="89" t="s">
        <v>925</v>
      </c>
      <c r="C55" s="89" t="s">
        <v>240</v>
      </c>
      <c r="D55" s="89" t="s">
        <v>213</v>
      </c>
      <c r="E55"/>
      <c r="F55"/>
      <c r="G55"/>
      <c r="H55"/>
      <c r="I55"/>
      <c r="J55"/>
    </row>
    <row r="56" spans="1:10" x14ac:dyDescent="0.3">
      <c r="A56" s="89" t="s">
        <v>997</v>
      </c>
      <c r="B56" s="89" t="s">
        <v>998</v>
      </c>
      <c r="C56" s="89" t="s">
        <v>240</v>
      </c>
      <c r="D56" s="89" t="s">
        <v>213</v>
      </c>
      <c r="E56"/>
      <c r="F56"/>
      <c r="G56"/>
      <c r="H56"/>
      <c r="I56"/>
      <c r="J56"/>
    </row>
    <row r="57" spans="1:10" x14ac:dyDescent="0.3">
      <c r="A57" s="89" t="s">
        <v>999</v>
      </c>
      <c r="B57" s="89" t="s">
        <v>1000</v>
      </c>
      <c r="C57" s="89" t="s">
        <v>240</v>
      </c>
      <c r="D57" s="89" t="s">
        <v>213</v>
      </c>
      <c r="E57"/>
      <c r="F57"/>
      <c r="G57"/>
      <c r="H57"/>
      <c r="I57"/>
      <c r="J57"/>
    </row>
    <row r="58" spans="1:10" x14ac:dyDescent="0.3">
      <c r="A58" s="89" t="s">
        <v>1001</v>
      </c>
      <c r="B58" s="89" t="s">
        <v>1002</v>
      </c>
      <c r="C58" s="89" t="s">
        <v>240</v>
      </c>
      <c r="D58" s="89" t="s">
        <v>213</v>
      </c>
      <c r="E58"/>
      <c r="F58"/>
      <c r="G58"/>
      <c r="H58"/>
      <c r="I58"/>
      <c r="J58"/>
    </row>
    <row r="59" spans="1:10" x14ac:dyDescent="0.3">
      <c r="A59" s="89" t="s">
        <v>1003</v>
      </c>
      <c r="B59" s="89" t="s">
        <v>1004</v>
      </c>
      <c r="C59" s="89" t="s">
        <v>240</v>
      </c>
      <c r="D59" s="89" t="s">
        <v>213</v>
      </c>
      <c r="E59"/>
      <c r="F59"/>
      <c r="G59"/>
      <c r="H59"/>
      <c r="I59"/>
      <c r="J59"/>
    </row>
    <row r="60" spans="1:10" x14ac:dyDescent="0.3">
      <c r="A60" s="89" t="s">
        <v>1005</v>
      </c>
      <c r="B60" s="89" t="s">
        <v>1006</v>
      </c>
      <c r="C60" s="89" t="s">
        <v>240</v>
      </c>
      <c r="D60" s="89" t="s">
        <v>213</v>
      </c>
      <c r="E60"/>
      <c r="F60"/>
      <c r="G60"/>
      <c r="H60"/>
      <c r="I60"/>
      <c r="J60"/>
    </row>
    <row r="61" spans="1:10" x14ac:dyDescent="0.3">
      <c r="A61" s="89" t="s">
        <v>1007</v>
      </c>
      <c r="B61" s="89" t="s">
        <v>1008</v>
      </c>
      <c r="C61" s="89" t="s">
        <v>240</v>
      </c>
      <c r="D61" s="89" t="s">
        <v>213</v>
      </c>
      <c r="E61"/>
      <c r="F61"/>
      <c r="G61"/>
      <c r="H61"/>
      <c r="I61"/>
      <c r="J61"/>
    </row>
    <row r="62" spans="1:10" x14ac:dyDescent="0.3">
      <c r="A62" s="89" t="s">
        <v>1009</v>
      </c>
      <c r="B62" s="89" t="s">
        <v>1010</v>
      </c>
      <c r="C62" s="89" t="s">
        <v>240</v>
      </c>
      <c r="D62" s="89" t="s">
        <v>213</v>
      </c>
      <c r="E62"/>
      <c r="F62"/>
      <c r="G62"/>
      <c r="H62"/>
      <c r="I62"/>
      <c r="J62"/>
    </row>
    <row r="63" spans="1:10" x14ac:dyDescent="0.3">
      <c r="A63" s="89" t="s">
        <v>1011</v>
      </c>
      <c r="B63" s="89" t="s">
        <v>1012</v>
      </c>
      <c r="C63" s="89" t="s">
        <v>240</v>
      </c>
      <c r="D63" s="89" t="s">
        <v>213</v>
      </c>
      <c r="E63"/>
      <c r="F63"/>
      <c r="G63"/>
      <c r="H63"/>
      <c r="I63"/>
      <c r="J63"/>
    </row>
    <row r="64" spans="1:10" x14ac:dyDescent="0.3">
      <c r="A64" s="89" t="s">
        <v>1013</v>
      </c>
      <c r="B64" s="89" t="s">
        <v>1014</v>
      </c>
      <c r="C64" s="89" t="s">
        <v>240</v>
      </c>
      <c r="D64" s="89" t="s">
        <v>213</v>
      </c>
      <c r="E64"/>
      <c r="F64"/>
      <c r="G64"/>
      <c r="H64"/>
      <c r="I64"/>
      <c r="J64"/>
    </row>
    <row r="65" spans="1:10" x14ac:dyDescent="0.3">
      <c r="A65" s="89" t="s">
        <v>1015</v>
      </c>
      <c r="B65" s="89" t="s">
        <v>1016</v>
      </c>
      <c r="C65" s="89" t="s">
        <v>240</v>
      </c>
      <c r="D65" s="89" t="s">
        <v>213</v>
      </c>
      <c r="E65"/>
      <c r="F65"/>
      <c r="G65"/>
      <c r="H65"/>
      <c r="I65"/>
      <c r="J65"/>
    </row>
    <row r="66" spans="1:10" x14ac:dyDescent="0.3">
      <c r="A66" s="89" t="s">
        <v>1017</v>
      </c>
      <c r="B66" s="89" t="s">
        <v>1018</v>
      </c>
      <c r="C66" s="89" t="s">
        <v>240</v>
      </c>
      <c r="D66" s="89" t="s">
        <v>213</v>
      </c>
      <c r="E66"/>
      <c r="F66"/>
      <c r="G66"/>
      <c r="H66"/>
      <c r="I66"/>
      <c r="J66"/>
    </row>
    <row r="67" spans="1:10" x14ac:dyDescent="0.3">
      <c r="A67" s="89" t="s">
        <v>1019</v>
      </c>
      <c r="B67" s="89" t="s">
        <v>1020</v>
      </c>
      <c r="C67" s="89" t="s">
        <v>240</v>
      </c>
      <c r="D67" s="89" t="s">
        <v>213</v>
      </c>
      <c r="E67"/>
      <c r="F67"/>
      <c r="G67"/>
      <c r="H67"/>
      <c r="I67"/>
      <c r="J67"/>
    </row>
    <row r="68" spans="1:10" x14ac:dyDescent="0.3">
      <c r="A68" s="89" t="s">
        <v>1021</v>
      </c>
      <c r="B68" s="89" t="s">
        <v>1022</v>
      </c>
      <c r="C68" s="89" t="s">
        <v>240</v>
      </c>
      <c r="D68" s="89" t="s">
        <v>213</v>
      </c>
      <c r="E68"/>
      <c r="F68"/>
      <c r="G68"/>
      <c r="H68"/>
      <c r="I68"/>
      <c r="J68"/>
    </row>
    <row r="69" spans="1:10" x14ac:dyDescent="0.3">
      <c r="A69" s="89" t="s">
        <v>1023</v>
      </c>
      <c r="B69" s="89" t="s">
        <v>1024</v>
      </c>
      <c r="C69" s="89" t="s">
        <v>240</v>
      </c>
      <c r="D69" s="89" t="s">
        <v>213</v>
      </c>
      <c r="E69"/>
      <c r="F69"/>
      <c r="G69"/>
      <c r="H69"/>
      <c r="I69"/>
      <c r="J69"/>
    </row>
    <row r="70" spans="1:10" x14ac:dyDescent="0.3">
      <c r="A70" s="89" t="s">
        <v>1025</v>
      </c>
      <c r="B70" s="89" t="s">
        <v>1026</v>
      </c>
      <c r="C70" s="89" t="s">
        <v>240</v>
      </c>
      <c r="D70" s="89" t="s">
        <v>213</v>
      </c>
      <c r="E70"/>
      <c r="F70"/>
      <c r="G70"/>
      <c r="H70"/>
      <c r="I70"/>
      <c r="J70"/>
    </row>
    <row r="71" spans="1:10" x14ac:dyDescent="0.3">
      <c r="A71" s="89" t="s">
        <v>1027</v>
      </c>
      <c r="B71" s="89" t="s">
        <v>1028</v>
      </c>
      <c r="C71" s="89" t="s">
        <v>240</v>
      </c>
      <c r="D71" s="89" t="s">
        <v>213</v>
      </c>
      <c r="E71"/>
      <c r="F71"/>
      <c r="G71"/>
      <c r="H71"/>
      <c r="I71"/>
      <c r="J71"/>
    </row>
    <row r="72" spans="1:10" x14ac:dyDescent="0.3">
      <c r="A72" s="89" t="s">
        <v>1029</v>
      </c>
      <c r="B72" s="89" t="s">
        <v>1030</v>
      </c>
      <c r="C72" s="89" t="s">
        <v>240</v>
      </c>
      <c r="D72" s="89" t="s">
        <v>213</v>
      </c>
      <c r="E72"/>
      <c r="F72"/>
      <c r="G72"/>
      <c r="H72"/>
      <c r="I72"/>
      <c r="J72"/>
    </row>
    <row r="73" spans="1:10" x14ac:dyDescent="0.3">
      <c r="A73" s="89" t="s">
        <v>1031</v>
      </c>
      <c r="B73" s="89" t="s">
        <v>1032</v>
      </c>
      <c r="C73" s="89" t="s">
        <v>240</v>
      </c>
      <c r="D73" s="89" t="s">
        <v>213</v>
      </c>
      <c r="E73"/>
      <c r="F73"/>
      <c r="G73"/>
      <c r="H73"/>
      <c r="I73"/>
      <c r="J73"/>
    </row>
    <row r="74" spans="1:10" x14ac:dyDescent="0.3">
      <c r="A74" s="89" t="s">
        <v>1033</v>
      </c>
      <c r="B74" s="89" t="s">
        <v>1034</v>
      </c>
      <c r="C74" s="89" t="s">
        <v>240</v>
      </c>
      <c r="D74" s="89" t="s">
        <v>213</v>
      </c>
      <c r="E74"/>
      <c r="F74"/>
      <c r="G74"/>
      <c r="H74"/>
      <c r="I74"/>
      <c r="J74"/>
    </row>
    <row r="75" spans="1:10" x14ac:dyDescent="0.3">
      <c r="A75" s="89" t="s">
        <v>1035</v>
      </c>
      <c r="B75" s="89" t="s">
        <v>1036</v>
      </c>
      <c r="C75" s="89" t="s">
        <v>240</v>
      </c>
      <c r="D75" s="89" t="s">
        <v>213</v>
      </c>
      <c r="E75"/>
      <c r="F75"/>
      <c r="G75"/>
      <c r="H75"/>
      <c r="I75"/>
      <c r="J75"/>
    </row>
    <row r="76" spans="1:10" x14ac:dyDescent="0.3">
      <c r="A76" s="89" t="s">
        <v>1037</v>
      </c>
      <c r="B76" s="89" t="s">
        <v>1038</v>
      </c>
      <c r="C76" s="89" t="s">
        <v>240</v>
      </c>
      <c r="D76" s="89" t="s">
        <v>213</v>
      </c>
      <c r="E76"/>
      <c r="F76"/>
      <c r="G76"/>
      <c r="H76"/>
      <c r="I76"/>
      <c r="J76"/>
    </row>
    <row r="77" spans="1:10" x14ac:dyDescent="0.3">
      <c r="A77" s="89" t="s">
        <v>1039</v>
      </c>
      <c r="B77" s="89" t="s">
        <v>1040</v>
      </c>
      <c r="C77" s="89" t="s">
        <v>240</v>
      </c>
      <c r="D77" s="89" t="s">
        <v>213</v>
      </c>
      <c r="E77"/>
      <c r="F77"/>
      <c r="G77"/>
      <c r="H77"/>
      <c r="I77"/>
      <c r="J77"/>
    </row>
    <row r="78" spans="1:10" x14ac:dyDescent="0.3">
      <c r="A78" s="89" t="s">
        <v>1041</v>
      </c>
      <c r="B78" s="89" t="s">
        <v>1042</v>
      </c>
      <c r="C78" s="89" t="s">
        <v>240</v>
      </c>
      <c r="D78" s="89" t="s">
        <v>213</v>
      </c>
      <c r="E78"/>
      <c r="F78"/>
      <c r="G78"/>
      <c r="H78"/>
      <c r="I78"/>
      <c r="J78"/>
    </row>
    <row r="79" spans="1:10" x14ac:dyDescent="0.3">
      <c r="A79" s="89" t="s">
        <v>1043</v>
      </c>
      <c r="B79" s="89" t="s">
        <v>1044</v>
      </c>
      <c r="C79" s="89" t="s">
        <v>240</v>
      </c>
      <c r="D79" s="89" t="s">
        <v>213</v>
      </c>
      <c r="E79"/>
      <c r="F79"/>
      <c r="G79"/>
      <c r="H79"/>
      <c r="I79"/>
      <c r="J79"/>
    </row>
    <row r="80" spans="1:10" x14ac:dyDescent="0.3">
      <c r="A80" s="89" t="s">
        <v>1045</v>
      </c>
      <c r="B80" s="89" t="s">
        <v>1046</v>
      </c>
      <c r="C80" s="89" t="s">
        <v>240</v>
      </c>
      <c r="D80" s="89" t="s">
        <v>213</v>
      </c>
      <c r="E80"/>
      <c r="F80"/>
      <c r="G80"/>
      <c r="H80"/>
      <c r="I80"/>
      <c r="J80"/>
    </row>
    <row r="81" spans="1:10" x14ac:dyDescent="0.3">
      <c r="A81" s="89" t="s">
        <v>1047</v>
      </c>
      <c r="B81" s="89" t="s">
        <v>1048</v>
      </c>
      <c r="C81" s="89" t="s">
        <v>240</v>
      </c>
      <c r="D81" s="89" t="s">
        <v>213</v>
      </c>
      <c r="E81"/>
      <c r="F81"/>
      <c r="G81"/>
      <c r="H81"/>
      <c r="I81"/>
      <c r="J81"/>
    </row>
    <row r="82" spans="1:10" x14ac:dyDescent="0.3">
      <c r="A82" s="89" t="s">
        <v>1049</v>
      </c>
      <c r="B82" s="89" t="s">
        <v>592</v>
      </c>
      <c r="C82" s="89" t="s">
        <v>240</v>
      </c>
      <c r="D82" s="89" t="s">
        <v>213</v>
      </c>
      <c r="E82"/>
      <c r="F82"/>
      <c r="G82"/>
      <c r="H82"/>
      <c r="I82"/>
      <c r="J82"/>
    </row>
    <row r="83" spans="1:10" x14ac:dyDescent="0.3">
      <c r="A83" s="89" t="s">
        <v>1050</v>
      </c>
      <c r="B83" s="89" t="s">
        <v>1051</v>
      </c>
      <c r="C83" s="89" t="s">
        <v>240</v>
      </c>
      <c r="D83" s="89" t="s">
        <v>213</v>
      </c>
      <c r="E83"/>
      <c r="F83"/>
      <c r="G83"/>
      <c r="H83"/>
      <c r="I83"/>
      <c r="J83"/>
    </row>
    <row r="84" spans="1:10" x14ac:dyDescent="0.3">
      <c r="A84" s="89" t="s">
        <v>1052</v>
      </c>
      <c r="B84" s="89" t="s">
        <v>1053</v>
      </c>
      <c r="C84" s="89" t="s">
        <v>240</v>
      </c>
      <c r="D84" s="89" t="s">
        <v>213</v>
      </c>
      <c r="E84"/>
      <c r="F84"/>
      <c r="G84"/>
      <c r="H84"/>
      <c r="I84"/>
      <c r="J84"/>
    </row>
    <row r="85" spans="1:10" x14ac:dyDescent="0.3">
      <c r="A85" s="89" t="s">
        <v>1054</v>
      </c>
      <c r="B85" s="89" t="s">
        <v>1055</v>
      </c>
      <c r="C85" s="89" t="s">
        <v>240</v>
      </c>
      <c r="D85" s="89" t="s">
        <v>213</v>
      </c>
      <c r="E85"/>
      <c r="F85"/>
      <c r="G85"/>
      <c r="H85"/>
      <c r="I85"/>
      <c r="J85"/>
    </row>
    <row r="86" spans="1:10" x14ac:dyDescent="0.3">
      <c r="A86" s="89" t="s">
        <v>1056</v>
      </c>
      <c r="B86" s="89" t="s">
        <v>1057</v>
      </c>
      <c r="C86" s="89" t="s">
        <v>240</v>
      </c>
      <c r="D86" s="89" t="s">
        <v>213</v>
      </c>
      <c r="E86"/>
      <c r="F86"/>
      <c r="G86"/>
      <c r="H86"/>
      <c r="I86"/>
      <c r="J86"/>
    </row>
    <row r="87" spans="1:10" x14ac:dyDescent="0.3">
      <c r="A87" s="89" t="s">
        <v>1058</v>
      </c>
      <c r="B87" s="89" t="s">
        <v>1059</v>
      </c>
      <c r="C87" s="89" t="s">
        <v>240</v>
      </c>
      <c r="D87" s="89" t="s">
        <v>213</v>
      </c>
      <c r="E87"/>
      <c r="F87"/>
      <c r="G87"/>
      <c r="H87"/>
      <c r="I87"/>
      <c r="J87"/>
    </row>
    <row r="88" spans="1:10" x14ac:dyDescent="0.3">
      <c r="A88" s="89" t="s">
        <v>1060</v>
      </c>
      <c r="B88" s="89" t="s">
        <v>1061</v>
      </c>
      <c r="C88" s="89" t="s">
        <v>240</v>
      </c>
      <c r="D88" s="89" t="s">
        <v>213</v>
      </c>
      <c r="E88"/>
      <c r="F88"/>
      <c r="G88"/>
      <c r="H88"/>
      <c r="I88"/>
      <c r="J88"/>
    </row>
    <row r="89" spans="1:10" x14ac:dyDescent="0.3">
      <c r="A89" s="89" t="s">
        <v>1062</v>
      </c>
      <c r="B89" s="89" t="s">
        <v>1063</v>
      </c>
      <c r="C89" s="89" t="s">
        <v>240</v>
      </c>
      <c r="D89" s="89" t="s">
        <v>213</v>
      </c>
      <c r="E89"/>
      <c r="F89"/>
      <c r="G89"/>
      <c r="H89"/>
      <c r="I89"/>
      <c r="J89"/>
    </row>
    <row r="90" spans="1:10" x14ac:dyDescent="0.3">
      <c r="A90" s="89" t="s">
        <v>1064</v>
      </c>
      <c r="B90" s="89" t="s">
        <v>1065</v>
      </c>
      <c r="C90" s="89" t="s">
        <v>119</v>
      </c>
      <c r="D90" s="89" t="s">
        <v>213</v>
      </c>
      <c r="E90"/>
      <c r="F90"/>
      <c r="G90"/>
      <c r="H90"/>
      <c r="I90"/>
      <c r="J90"/>
    </row>
    <row r="91" spans="1:10" x14ac:dyDescent="0.3">
      <c r="A91" s="89" t="s">
        <v>1066</v>
      </c>
      <c r="B91" s="89" t="s">
        <v>1067</v>
      </c>
      <c r="C91" s="89" t="s">
        <v>119</v>
      </c>
      <c r="D91" s="89" t="s">
        <v>213</v>
      </c>
      <c r="E91"/>
      <c r="F91"/>
      <c r="G91"/>
      <c r="H91"/>
      <c r="I91"/>
      <c r="J91"/>
    </row>
    <row r="92" spans="1:10" x14ac:dyDescent="0.3">
      <c r="A92" s="89" t="s">
        <v>1068</v>
      </c>
      <c r="B92" s="89" t="s">
        <v>1069</v>
      </c>
      <c r="C92" s="89" t="s">
        <v>119</v>
      </c>
      <c r="D92" s="89" t="s">
        <v>213</v>
      </c>
      <c r="E92"/>
      <c r="F92"/>
      <c r="G92"/>
      <c r="H92"/>
      <c r="I92"/>
      <c r="J92"/>
    </row>
    <row r="93" spans="1:10" x14ac:dyDescent="0.3">
      <c r="A93" s="89" t="s">
        <v>1070</v>
      </c>
      <c r="B93" s="89" t="s">
        <v>1071</v>
      </c>
      <c r="C93" s="89" t="s">
        <v>119</v>
      </c>
      <c r="D93" s="89" t="s">
        <v>213</v>
      </c>
      <c r="E93"/>
      <c r="F93"/>
      <c r="G93"/>
      <c r="H93"/>
      <c r="I93"/>
      <c r="J93"/>
    </row>
    <row r="94" spans="1:10" x14ac:dyDescent="0.3">
      <c r="A94" s="89" t="s">
        <v>1072</v>
      </c>
      <c r="B94" s="89" t="s">
        <v>1073</v>
      </c>
      <c r="C94" s="89" t="s">
        <v>119</v>
      </c>
      <c r="D94" s="89" t="s">
        <v>213</v>
      </c>
      <c r="E94"/>
      <c r="F94"/>
      <c r="G94"/>
      <c r="H94"/>
      <c r="I94"/>
      <c r="J94"/>
    </row>
    <row r="95" spans="1:10" x14ac:dyDescent="0.3">
      <c r="A95" s="89" t="s">
        <v>1074</v>
      </c>
      <c r="B95" s="89" t="s">
        <v>1075</v>
      </c>
      <c r="C95" s="89" t="s">
        <v>119</v>
      </c>
      <c r="D95" s="89" t="s">
        <v>213</v>
      </c>
      <c r="E95"/>
      <c r="F95"/>
      <c r="G95"/>
      <c r="H95"/>
      <c r="I95"/>
      <c r="J95"/>
    </row>
    <row r="96" spans="1:10" x14ac:dyDescent="0.3">
      <c r="A96" s="89" t="s">
        <v>1076</v>
      </c>
      <c r="B96" s="89" t="s">
        <v>1077</v>
      </c>
      <c r="C96" s="89" t="s">
        <v>119</v>
      </c>
      <c r="D96" s="89" t="s">
        <v>213</v>
      </c>
      <c r="E96"/>
      <c r="F96"/>
      <c r="G96"/>
      <c r="H96"/>
      <c r="I96"/>
      <c r="J96"/>
    </row>
    <row r="97" spans="1:10" x14ac:dyDescent="0.3">
      <c r="A97" s="89" t="s">
        <v>1078</v>
      </c>
      <c r="B97" s="89" t="s">
        <v>1079</v>
      </c>
      <c r="C97" s="89" t="s">
        <v>119</v>
      </c>
      <c r="D97" s="89" t="s">
        <v>213</v>
      </c>
      <c r="E97"/>
      <c r="F97"/>
      <c r="G97"/>
      <c r="H97"/>
      <c r="I97"/>
      <c r="J97"/>
    </row>
    <row r="98" spans="1:10" x14ac:dyDescent="0.3">
      <c r="A98" s="89" t="s">
        <v>1080</v>
      </c>
      <c r="B98" s="89" t="s">
        <v>1081</v>
      </c>
      <c r="C98" s="89" t="s">
        <v>119</v>
      </c>
      <c r="D98" s="89" t="s">
        <v>213</v>
      </c>
      <c r="E98"/>
      <c r="F98"/>
      <c r="G98"/>
      <c r="H98"/>
      <c r="I98"/>
      <c r="J98"/>
    </row>
    <row r="99" spans="1:10" x14ac:dyDescent="0.3">
      <c r="A99" s="89" t="s">
        <v>1082</v>
      </c>
      <c r="B99" s="89" t="s">
        <v>1083</v>
      </c>
      <c r="C99" s="89" t="s">
        <v>119</v>
      </c>
      <c r="D99" s="89" t="s">
        <v>213</v>
      </c>
      <c r="E99"/>
      <c r="F99"/>
      <c r="G99"/>
      <c r="H99"/>
      <c r="I99"/>
      <c r="J99"/>
    </row>
    <row r="100" spans="1:10" x14ac:dyDescent="0.3">
      <c r="A100" s="89" t="s">
        <v>1084</v>
      </c>
      <c r="B100" s="89" t="s">
        <v>1085</v>
      </c>
      <c r="C100" s="89" t="s">
        <v>119</v>
      </c>
      <c r="D100" s="89" t="s">
        <v>213</v>
      </c>
      <c r="E100"/>
      <c r="F100"/>
      <c r="G100"/>
      <c r="H100"/>
      <c r="I100"/>
      <c r="J100"/>
    </row>
    <row r="101" spans="1:10" x14ac:dyDescent="0.3">
      <c r="A101" s="89" t="s">
        <v>1086</v>
      </c>
      <c r="B101" s="89" t="s">
        <v>1087</v>
      </c>
      <c r="C101" s="89" t="s">
        <v>119</v>
      </c>
      <c r="D101" s="89" t="s">
        <v>213</v>
      </c>
      <c r="E101"/>
      <c r="F101"/>
      <c r="G101"/>
      <c r="H101"/>
      <c r="I101"/>
      <c r="J101"/>
    </row>
    <row r="102" spans="1:10" x14ac:dyDescent="0.3">
      <c r="A102" s="89" t="s">
        <v>1088</v>
      </c>
      <c r="B102" s="89" t="s">
        <v>1089</v>
      </c>
      <c r="C102" s="89" t="s">
        <v>119</v>
      </c>
      <c r="D102" s="89" t="s">
        <v>213</v>
      </c>
      <c r="E102"/>
      <c r="F102"/>
      <c r="G102"/>
      <c r="H102"/>
      <c r="I102"/>
      <c r="J102"/>
    </row>
    <row r="103" spans="1:10" x14ac:dyDescent="0.3">
      <c r="A103" s="89" t="s">
        <v>1090</v>
      </c>
      <c r="B103" s="89" t="s">
        <v>1091</v>
      </c>
      <c r="C103" s="89" t="s">
        <v>119</v>
      </c>
      <c r="D103" s="89" t="s">
        <v>213</v>
      </c>
      <c r="E103"/>
      <c r="F103"/>
      <c r="G103"/>
      <c r="H103"/>
      <c r="I103"/>
      <c r="J103"/>
    </row>
    <row r="104" spans="1:10" x14ac:dyDescent="0.3">
      <c r="A104" s="89" t="s">
        <v>1092</v>
      </c>
      <c r="B104" s="89" t="s">
        <v>1093</v>
      </c>
      <c r="C104" s="89" t="s">
        <v>119</v>
      </c>
      <c r="D104" s="89" t="s">
        <v>213</v>
      </c>
      <c r="E104"/>
      <c r="F104"/>
      <c r="G104"/>
      <c r="H104"/>
      <c r="I104"/>
      <c r="J104"/>
    </row>
    <row r="105" spans="1:10" x14ac:dyDescent="0.3">
      <c r="A105" s="89" t="s">
        <v>1094</v>
      </c>
      <c r="B105" s="89" t="s">
        <v>1095</v>
      </c>
      <c r="C105" s="89" t="s">
        <v>119</v>
      </c>
      <c r="D105" s="89" t="s">
        <v>213</v>
      </c>
      <c r="E105"/>
      <c r="F105"/>
      <c r="G105"/>
      <c r="H105"/>
      <c r="I105"/>
      <c r="J105"/>
    </row>
    <row r="106" spans="1:10" x14ac:dyDescent="0.3">
      <c r="A106" s="89" t="s">
        <v>1096</v>
      </c>
      <c r="B106" s="89" t="s">
        <v>1097</v>
      </c>
      <c r="C106" s="89" t="s">
        <v>119</v>
      </c>
      <c r="D106" s="89" t="s">
        <v>213</v>
      </c>
      <c r="E106"/>
      <c r="F106"/>
      <c r="G106"/>
      <c r="H106"/>
      <c r="I106"/>
      <c r="J106"/>
    </row>
    <row r="107" spans="1:10" x14ac:dyDescent="0.3">
      <c r="A107" s="89" t="s">
        <v>1098</v>
      </c>
      <c r="B107" s="89" t="s">
        <v>1099</v>
      </c>
      <c r="C107" s="89" t="s">
        <v>119</v>
      </c>
      <c r="D107" s="89" t="s">
        <v>213</v>
      </c>
      <c r="E107"/>
      <c r="F107"/>
      <c r="G107"/>
      <c r="H107"/>
      <c r="I107"/>
      <c r="J107"/>
    </row>
    <row r="108" spans="1:10" x14ac:dyDescent="0.3">
      <c r="A108" s="89" t="s">
        <v>1100</v>
      </c>
      <c r="B108" s="89" t="s">
        <v>1101</v>
      </c>
      <c r="C108" s="89" t="s">
        <v>119</v>
      </c>
      <c r="D108" s="89" t="s">
        <v>213</v>
      </c>
      <c r="E108"/>
      <c r="F108"/>
      <c r="G108"/>
      <c r="H108"/>
      <c r="I108"/>
      <c r="J108"/>
    </row>
    <row r="109" spans="1:10" x14ac:dyDescent="0.3">
      <c r="A109" s="89" t="s">
        <v>1102</v>
      </c>
      <c r="B109" s="89" t="s">
        <v>1103</v>
      </c>
      <c r="C109" s="89" t="s">
        <v>119</v>
      </c>
      <c r="D109" s="89" t="s">
        <v>213</v>
      </c>
      <c r="E109"/>
      <c r="F109"/>
      <c r="G109"/>
      <c r="H109"/>
      <c r="I109"/>
      <c r="J109"/>
    </row>
    <row r="110" spans="1:10" x14ac:dyDescent="0.3">
      <c r="A110" s="89" t="s">
        <v>1104</v>
      </c>
      <c r="B110" s="89" t="s">
        <v>1105</v>
      </c>
      <c r="C110" s="89" t="s">
        <v>119</v>
      </c>
      <c r="D110" s="89" t="s">
        <v>213</v>
      </c>
      <c r="E110"/>
      <c r="F110"/>
      <c r="G110"/>
      <c r="H110"/>
      <c r="I110"/>
      <c r="J110"/>
    </row>
    <row r="111" spans="1:10" x14ac:dyDescent="0.3">
      <c r="A111" s="89" t="s">
        <v>1106</v>
      </c>
      <c r="B111" s="89" t="s">
        <v>1107</v>
      </c>
      <c r="C111" s="89" t="s">
        <v>119</v>
      </c>
      <c r="D111" s="89" t="s">
        <v>213</v>
      </c>
      <c r="E111"/>
      <c r="F111"/>
      <c r="G111"/>
      <c r="H111"/>
      <c r="I111"/>
      <c r="J111"/>
    </row>
    <row r="112" spans="1:10" x14ac:dyDescent="0.3">
      <c r="A112" s="89" t="s">
        <v>1108</v>
      </c>
      <c r="B112" s="89" t="s">
        <v>1109</v>
      </c>
      <c r="C112" s="89" t="s">
        <v>119</v>
      </c>
      <c r="D112" s="89" t="s">
        <v>213</v>
      </c>
      <c r="E112"/>
      <c r="F112"/>
      <c r="G112"/>
      <c r="H112"/>
      <c r="I112"/>
      <c r="J112"/>
    </row>
    <row r="113" spans="1:10" x14ac:dyDescent="0.3">
      <c r="A113" s="89" t="s">
        <v>1110</v>
      </c>
      <c r="B113" s="89" t="s">
        <v>1111</v>
      </c>
      <c r="C113" s="89" t="s">
        <v>119</v>
      </c>
      <c r="D113" s="89" t="s">
        <v>213</v>
      </c>
      <c r="E113"/>
      <c r="F113"/>
      <c r="G113"/>
      <c r="H113"/>
      <c r="I113"/>
      <c r="J113"/>
    </row>
    <row r="114" spans="1:10" x14ac:dyDescent="0.3">
      <c r="A114" s="89" t="s">
        <v>1112</v>
      </c>
      <c r="B114" s="89" t="s">
        <v>1113</v>
      </c>
      <c r="C114" s="89" t="s">
        <v>119</v>
      </c>
      <c r="D114" s="89" t="s">
        <v>213</v>
      </c>
      <c r="E114"/>
      <c r="F114"/>
      <c r="G114"/>
      <c r="H114"/>
      <c r="I114"/>
      <c r="J114"/>
    </row>
    <row r="115" spans="1:10" x14ac:dyDescent="0.3">
      <c r="A115" s="89" t="s">
        <v>1114</v>
      </c>
      <c r="B115" s="89" t="s">
        <v>945</v>
      </c>
      <c r="C115" s="89" t="s">
        <v>119</v>
      </c>
      <c r="D115" s="89" t="s">
        <v>213</v>
      </c>
      <c r="E115"/>
      <c r="F115"/>
      <c r="G115"/>
      <c r="H115"/>
      <c r="I115"/>
      <c r="J115"/>
    </row>
    <row r="116" spans="1:10" x14ac:dyDescent="0.3">
      <c r="A116" s="89" t="s">
        <v>1115</v>
      </c>
      <c r="B116" s="89" t="s">
        <v>1116</v>
      </c>
      <c r="C116" s="89" t="s">
        <v>119</v>
      </c>
      <c r="D116" s="89" t="s">
        <v>213</v>
      </c>
      <c r="E116"/>
      <c r="F116"/>
      <c r="G116"/>
      <c r="H116"/>
      <c r="I116"/>
      <c r="J116"/>
    </row>
    <row r="117" spans="1:10" x14ac:dyDescent="0.3">
      <c r="A117" s="89" t="s">
        <v>1117</v>
      </c>
      <c r="B117" s="89" t="s">
        <v>1118</v>
      </c>
      <c r="C117" s="89" t="s">
        <v>119</v>
      </c>
      <c r="D117" s="89" t="s">
        <v>213</v>
      </c>
      <c r="E117"/>
      <c r="F117"/>
      <c r="G117"/>
      <c r="H117"/>
      <c r="I117"/>
      <c r="J117"/>
    </row>
    <row r="118" spans="1:10" x14ac:dyDescent="0.3">
      <c r="A118" s="89" t="s">
        <v>1119</v>
      </c>
      <c r="B118" s="89" t="s">
        <v>1120</v>
      </c>
      <c r="C118" s="89" t="s">
        <v>119</v>
      </c>
      <c r="D118" s="89" t="s">
        <v>213</v>
      </c>
      <c r="E118"/>
      <c r="F118"/>
      <c r="G118"/>
      <c r="H118"/>
      <c r="I118"/>
      <c r="J118"/>
    </row>
    <row r="119" spans="1:10" x14ac:dyDescent="0.3">
      <c r="A119" s="89" t="s">
        <v>1121</v>
      </c>
      <c r="B119" s="89" t="s">
        <v>1122</v>
      </c>
      <c r="C119" s="89" t="s">
        <v>119</v>
      </c>
      <c r="D119" s="89" t="s">
        <v>213</v>
      </c>
      <c r="E119"/>
      <c r="F119"/>
      <c r="G119"/>
      <c r="H119"/>
      <c r="I119"/>
      <c r="J119"/>
    </row>
    <row r="120" spans="1:10" x14ac:dyDescent="0.3">
      <c r="A120" s="89" t="s">
        <v>1123</v>
      </c>
      <c r="B120" s="89" t="s">
        <v>1124</v>
      </c>
      <c r="C120" s="89" t="s">
        <v>119</v>
      </c>
      <c r="D120" s="89" t="s">
        <v>213</v>
      </c>
      <c r="E120"/>
      <c r="F120"/>
      <c r="G120"/>
      <c r="H120"/>
      <c r="I120"/>
      <c r="J120"/>
    </row>
    <row r="121" spans="1:10" x14ac:dyDescent="0.3">
      <c r="A121" s="89" t="s">
        <v>1125</v>
      </c>
      <c r="B121" s="89" t="s">
        <v>1126</v>
      </c>
      <c r="C121" s="89" t="s">
        <v>119</v>
      </c>
      <c r="D121" s="89" t="s">
        <v>213</v>
      </c>
      <c r="E121"/>
      <c r="F121"/>
      <c r="G121"/>
      <c r="H121"/>
      <c r="I121"/>
      <c r="J121"/>
    </row>
    <row r="122" spans="1:10" x14ac:dyDescent="0.3">
      <c r="A122" s="89" t="s">
        <v>1127</v>
      </c>
      <c r="B122" s="89" t="s">
        <v>1128</v>
      </c>
      <c r="C122" s="89" t="s">
        <v>119</v>
      </c>
      <c r="D122" s="89" t="s">
        <v>213</v>
      </c>
      <c r="E122"/>
      <c r="F122"/>
      <c r="G122"/>
      <c r="H122"/>
      <c r="I122"/>
      <c r="J122"/>
    </row>
    <row r="123" spans="1:10" x14ac:dyDescent="0.3">
      <c r="A123" s="89" t="s">
        <v>1129</v>
      </c>
      <c r="B123" s="89" t="s">
        <v>1130</v>
      </c>
      <c r="C123" s="89" t="s">
        <v>119</v>
      </c>
      <c r="D123" s="89" t="s">
        <v>213</v>
      </c>
      <c r="E123"/>
      <c r="F123"/>
      <c r="G123"/>
      <c r="H123"/>
      <c r="I123"/>
      <c r="J123"/>
    </row>
    <row r="124" spans="1:10" x14ac:dyDescent="0.3">
      <c r="A124" s="89" t="s">
        <v>1131</v>
      </c>
      <c r="B124" s="89" t="s">
        <v>1132</v>
      </c>
      <c r="C124" s="89" t="s">
        <v>119</v>
      </c>
      <c r="D124" s="89" t="s">
        <v>213</v>
      </c>
      <c r="E124"/>
      <c r="F124"/>
      <c r="G124"/>
      <c r="H124"/>
      <c r="I124"/>
      <c r="J124"/>
    </row>
    <row r="125" spans="1:10" x14ac:dyDescent="0.3">
      <c r="A125" s="89" t="s">
        <v>1133</v>
      </c>
      <c r="B125" s="89" t="s">
        <v>1134</v>
      </c>
      <c r="C125" s="89" t="s">
        <v>119</v>
      </c>
      <c r="D125" s="89" t="s">
        <v>213</v>
      </c>
      <c r="E125"/>
      <c r="F125"/>
      <c r="G125"/>
      <c r="H125"/>
      <c r="I125"/>
      <c r="J125"/>
    </row>
    <row r="126" spans="1:10" x14ac:dyDescent="0.3">
      <c r="A126" s="89" t="s">
        <v>1135</v>
      </c>
      <c r="B126" s="89" t="s">
        <v>1136</v>
      </c>
      <c r="C126" s="89" t="s">
        <v>119</v>
      </c>
      <c r="D126" s="89" t="s">
        <v>213</v>
      </c>
      <c r="E126"/>
      <c r="F126"/>
      <c r="G126"/>
      <c r="H126"/>
      <c r="I126"/>
      <c r="J126"/>
    </row>
    <row r="127" spans="1:10" x14ac:dyDescent="0.3">
      <c r="A127" s="89" t="s">
        <v>1137</v>
      </c>
      <c r="B127" s="89" t="s">
        <v>1138</v>
      </c>
      <c r="C127" s="89" t="s">
        <v>119</v>
      </c>
      <c r="D127" s="89" t="s">
        <v>213</v>
      </c>
      <c r="E127"/>
      <c r="F127"/>
      <c r="G127"/>
      <c r="H127"/>
      <c r="I127"/>
      <c r="J127"/>
    </row>
    <row r="128" spans="1:10" x14ac:dyDescent="0.3">
      <c r="A128" s="89" t="s">
        <v>1139</v>
      </c>
      <c r="B128" s="89" t="s">
        <v>1140</v>
      </c>
      <c r="C128" s="89" t="s">
        <v>119</v>
      </c>
      <c r="D128" s="89" t="s">
        <v>213</v>
      </c>
      <c r="E128"/>
      <c r="F128"/>
      <c r="G128"/>
      <c r="H128"/>
      <c r="I128"/>
      <c r="J128"/>
    </row>
    <row r="129" spans="1:10" x14ac:dyDescent="0.3">
      <c r="A129" s="89" t="s">
        <v>1141</v>
      </c>
      <c r="B129" s="89" t="s">
        <v>1142</v>
      </c>
      <c r="C129" s="89" t="s">
        <v>119</v>
      </c>
      <c r="D129" s="89" t="s">
        <v>213</v>
      </c>
      <c r="E129"/>
      <c r="F129"/>
      <c r="G129"/>
      <c r="H129"/>
      <c r="I129"/>
      <c r="J129"/>
    </row>
    <row r="130" spans="1:10" x14ac:dyDescent="0.3">
      <c r="A130" s="89" t="s">
        <v>1143</v>
      </c>
      <c r="B130" s="89" t="s">
        <v>1144</v>
      </c>
      <c r="C130" s="89" t="s">
        <v>119</v>
      </c>
      <c r="D130" s="89" t="s">
        <v>213</v>
      </c>
      <c r="E130"/>
      <c r="F130"/>
      <c r="G130"/>
      <c r="H130"/>
      <c r="I130"/>
      <c r="J130"/>
    </row>
    <row r="131" spans="1:10" x14ac:dyDescent="0.3">
      <c r="A131" s="89" t="s">
        <v>1145</v>
      </c>
      <c r="B131" s="89" t="s">
        <v>1146</v>
      </c>
      <c r="C131" s="89" t="s">
        <v>119</v>
      </c>
      <c r="D131" s="89" t="s">
        <v>213</v>
      </c>
      <c r="E131"/>
      <c r="F131"/>
      <c r="G131"/>
      <c r="H131"/>
      <c r="I131"/>
      <c r="J131"/>
    </row>
    <row r="132" spans="1:10" x14ac:dyDescent="0.3">
      <c r="A132" s="89" t="s">
        <v>1147</v>
      </c>
      <c r="B132" s="89" t="s">
        <v>1148</v>
      </c>
      <c r="C132" s="89" t="s">
        <v>119</v>
      </c>
      <c r="D132" s="89" t="s">
        <v>213</v>
      </c>
      <c r="E132"/>
      <c r="F132"/>
      <c r="G132"/>
      <c r="H132"/>
      <c r="I132"/>
      <c r="J132"/>
    </row>
    <row r="133" spans="1:10" x14ac:dyDescent="0.3">
      <c r="A133" s="89" t="s">
        <v>1149</v>
      </c>
      <c r="B133" s="89" t="s">
        <v>1150</v>
      </c>
      <c r="C133" s="89" t="s">
        <v>119</v>
      </c>
      <c r="D133" s="89" t="s">
        <v>213</v>
      </c>
      <c r="E133"/>
      <c r="F133"/>
      <c r="G133"/>
      <c r="H133"/>
      <c r="I133"/>
      <c r="J133"/>
    </row>
    <row r="134" spans="1:10" x14ac:dyDescent="0.3">
      <c r="A134" s="89" t="s">
        <v>1151</v>
      </c>
      <c r="B134" s="89" t="s">
        <v>1152</v>
      </c>
      <c r="C134" s="89" t="s">
        <v>119</v>
      </c>
      <c r="D134" s="89" t="s">
        <v>213</v>
      </c>
      <c r="E134"/>
      <c r="F134"/>
      <c r="G134"/>
      <c r="H134"/>
      <c r="I134"/>
      <c r="J134"/>
    </row>
    <row r="135" spans="1:10" x14ac:dyDescent="0.3">
      <c r="A135" s="89" t="s">
        <v>1153</v>
      </c>
      <c r="B135" s="89" t="s">
        <v>1154</v>
      </c>
      <c r="C135" s="89" t="s">
        <v>249</v>
      </c>
      <c r="D135" s="89" t="s">
        <v>213</v>
      </c>
      <c r="E135"/>
      <c r="F135"/>
      <c r="G135"/>
      <c r="H135"/>
      <c r="I135"/>
      <c r="J135"/>
    </row>
    <row r="136" spans="1:10" x14ac:dyDescent="0.3">
      <c r="A136" s="89" t="s">
        <v>1155</v>
      </c>
      <c r="B136" s="89" t="s">
        <v>1156</v>
      </c>
      <c r="C136" s="89" t="s">
        <v>249</v>
      </c>
      <c r="D136" s="89" t="s">
        <v>213</v>
      </c>
      <c r="E136"/>
      <c r="F136"/>
      <c r="G136"/>
      <c r="H136"/>
      <c r="I136"/>
      <c r="J136"/>
    </row>
    <row r="137" spans="1:10" x14ac:dyDescent="0.3">
      <c r="A137" s="89" t="s">
        <v>1157</v>
      </c>
      <c r="B137" s="89" t="s">
        <v>1158</v>
      </c>
      <c r="C137" s="89" t="s">
        <v>249</v>
      </c>
      <c r="D137" s="89" t="s">
        <v>213</v>
      </c>
      <c r="E137"/>
      <c r="F137"/>
      <c r="G137"/>
      <c r="H137"/>
      <c r="I137"/>
      <c r="J137"/>
    </row>
    <row r="138" spans="1:10" x14ac:dyDescent="0.3">
      <c r="A138" s="89" t="s">
        <v>1159</v>
      </c>
      <c r="B138" s="89" t="s">
        <v>1160</v>
      </c>
      <c r="C138" s="89" t="s">
        <v>249</v>
      </c>
      <c r="D138" s="89" t="s">
        <v>213</v>
      </c>
      <c r="E138"/>
      <c r="F138"/>
      <c r="G138"/>
      <c r="H138"/>
      <c r="I138"/>
      <c r="J138"/>
    </row>
    <row r="139" spans="1:10" x14ac:dyDescent="0.3">
      <c r="A139" s="89" t="s">
        <v>1161</v>
      </c>
      <c r="B139" s="89" t="s">
        <v>1162</v>
      </c>
      <c r="C139" s="89" t="s">
        <v>249</v>
      </c>
      <c r="D139" s="89" t="s">
        <v>213</v>
      </c>
      <c r="E139"/>
      <c r="F139"/>
      <c r="G139"/>
      <c r="H139"/>
      <c r="I139"/>
      <c r="J139"/>
    </row>
    <row r="140" spans="1:10" x14ac:dyDescent="0.3">
      <c r="A140" s="89" t="s">
        <v>1163</v>
      </c>
      <c r="B140" s="89" t="s">
        <v>1164</v>
      </c>
      <c r="C140" s="89" t="s">
        <v>249</v>
      </c>
      <c r="D140" s="89" t="s">
        <v>213</v>
      </c>
      <c r="E140"/>
      <c r="F140"/>
      <c r="G140"/>
      <c r="H140"/>
      <c r="I140"/>
      <c r="J140"/>
    </row>
    <row r="141" spans="1:10" x14ac:dyDescent="0.3">
      <c r="A141" s="89" t="s">
        <v>1165</v>
      </c>
      <c r="B141" s="89" t="s">
        <v>1166</v>
      </c>
      <c r="C141" s="89" t="s">
        <v>249</v>
      </c>
      <c r="D141" s="89" t="s">
        <v>213</v>
      </c>
      <c r="E141"/>
      <c r="F141"/>
      <c r="G141"/>
      <c r="H141"/>
      <c r="I141"/>
      <c r="J141"/>
    </row>
    <row r="142" spans="1:10" x14ac:dyDescent="0.3">
      <c r="A142" s="89" t="s">
        <v>1167</v>
      </c>
      <c r="B142" s="89" t="s">
        <v>1168</v>
      </c>
      <c r="C142" s="89" t="s">
        <v>249</v>
      </c>
      <c r="D142" s="89" t="s">
        <v>213</v>
      </c>
      <c r="E142"/>
      <c r="F142"/>
      <c r="G142"/>
      <c r="H142"/>
      <c r="I142"/>
      <c r="J142"/>
    </row>
    <row r="143" spans="1:10" x14ac:dyDescent="0.3">
      <c r="A143" s="89" t="s">
        <v>1169</v>
      </c>
      <c r="B143" s="89" t="s">
        <v>1170</v>
      </c>
      <c r="C143" s="89" t="s">
        <v>249</v>
      </c>
      <c r="D143" s="89" t="s">
        <v>213</v>
      </c>
      <c r="E143"/>
      <c r="F143"/>
      <c r="G143"/>
      <c r="H143"/>
      <c r="I143"/>
      <c r="J143"/>
    </row>
    <row r="144" spans="1:10" x14ac:dyDescent="0.3">
      <c r="A144" s="89" t="s">
        <v>1171</v>
      </c>
      <c r="B144" s="89" t="s">
        <v>1172</v>
      </c>
      <c r="C144" s="89" t="s">
        <v>249</v>
      </c>
      <c r="D144" s="89" t="s">
        <v>213</v>
      </c>
      <c r="E144"/>
      <c r="F144"/>
      <c r="G144"/>
      <c r="H144"/>
      <c r="I144"/>
      <c r="J144"/>
    </row>
    <row r="145" spans="1:10" x14ac:dyDescent="0.3">
      <c r="A145" s="89" t="s">
        <v>1173</v>
      </c>
      <c r="B145" s="89" t="s">
        <v>1174</v>
      </c>
      <c r="C145" s="89" t="s">
        <v>249</v>
      </c>
      <c r="D145" s="89" t="s">
        <v>213</v>
      </c>
      <c r="E145"/>
      <c r="F145"/>
      <c r="G145"/>
      <c r="H145"/>
      <c r="I145"/>
      <c r="J145"/>
    </row>
    <row r="146" spans="1:10" x14ac:dyDescent="0.3">
      <c r="A146" s="89" t="s">
        <v>1175</v>
      </c>
      <c r="B146" s="89" t="s">
        <v>1176</v>
      </c>
      <c r="C146" s="89" t="s">
        <v>249</v>
      </c>
      <c r="D146" s="89" t="s">
        <v>213</v>
      </c>
      <c r="E146"/>
      <c r="F146"/>
      <c r="G146"/>
      <c r="H146"/>
      <c r="I146"/>
      <c r="J146"/>
    </row>
    <row r="147" spans="1:10" x14ac:dyDescent="0.3">
      <c r="A147" s="89" t="s">
        <v>1177</v>
      </c>
      <c r="B147" s="89" t="s">
        <v>1178</v>
      </c>
      <c r="C147" s="89" t="s">
        <v>249</v>
      </c>
      <c r="D147" s="89" t="s">
        <v>213</v>
      </c>
      <c r="E147"/>
      <c r="F147"/>
      <c r="G147"/>
      <c r="H147"/>
      <c r="I147"/>
      <c r="J147"/>
    </row>
    <row r="148" spans="1:10" x14ac:dyDescent="0.3">
      <c r="A148" s="89" t="s">
        <v>1179</v>
      </c>
      <c r="B148" s="89" t="s">
        <v>1180</v>
      </c>
      <c r="C148" s="89" t="s">
        <v>249</v>
      </c>
      <c r="D148" s="89" t="s">
        <v>213</v>
      </c>
      <c r="E148"/>
      <c r="F148"/>
      <c r="G148"/>
      <c r="H148"/>
      <c r="I148"/>
      <c r="J148"/>
    </row>
    <row r="149" spans="1:10" x14ac:dyDescent="0.3">
      <c r="A149" s="89" t="s">
        <v>1181</v>
      </c>
      <c r="B149" s="89" t="s">
        <v>1182</v>
      </c>
      <c r="C149" s="89" t="s">
        <v>249</v>
      </c>
      <c r="D149" s="89" t="s">
        <v>213</v>
      </c>
      <c r="E149"/>
      <c r="F149"/>
      <c r="G149"/>
      <c r="H149"/>
      <c r="I149"/>
      <c r="J149"/>
    </row>
    <row r="150" spans="1:10" x14ac:dyDescent="0.3">
      <c r="A150" s="89" t="s">
        <v>1183</v>
      </c>
      <c r="B150" s="89" t="s">
        <v>1184</v>
      </c>
      <c r="C150" s="89" t="s">
        <v>249</v>
      </c>
      <c r="D150" s="89" t="s">
        <v>213</v>
      </c>
      <c r="E150"/>
      <c r="F150"/>
      <c r="G150"/>
      <c r="H150"/>
      <c r="I150"/>
      <c r="J150"/>
    </row>
    <row r="151" spans="1:10" x14ac:dyDescent="0.3">
      <c r="A151" s="89" t="s">
        <v>1185</v>
      </c>
      <c r="B151" s="89" t="s">
        <v>1186</v>
      </c>
      <c r="C151" s="89" t="s">
        <v>249</v>
      </c>
      <c r="D151" s="89" t="s">
        <v>213</v>
      </c>
      <c r="E151"/>
      <c r="F151"/>
      <c r="G151"/>
      <c r="H151"/>
      <c r="I151"/>
      <c r="J151"/>
    </row>
    <row r="152" spans="1:10" x14ac:dyDescent="0.3">
      <c r="A152" s="89" t="s">
        <v>1187</v>
      </c>
      <c r="B152" s="89" t="s">
        <v>1188</v>
      </c>
      <c r="C152" s="89" t="s">
        <v>249</v>
      </c>
      <c r="D152" s="89" t="s">
        <v>213</v>
      </c>
      <c r="E152"/>
      <c r="F152"/>
      <c r="G152"/>
      <c r="H152"/>
      <c r="I152"/>
      <c r="J152"/>
    </row>
    <row r="153" spans="1:10" x14ac:dyDescent="0.3">
      <c r="A153" s="89" t="s">
        <v>1189</v>
      </c>
      <c r="B153" s="89" t="s">
        <v>1190</v>
      </c>
      <c r="C153" s="89" t="s">
        <v>249</v>
      </c>
      <c r="D153" s="89" t="s">
        <v>213</v>
      </c>
      <c r="E153"/>
      <c r="F153"/>
      <c r="G153"/>
      <c r="H153"/>
      <c r="I153"/>
      <c r="J153"/>
    </row>
    <row r="154" spans="1:10" x14ac:dyDescent="0.3">
      <c r="A154" s="89" t="s">
        <v>1191</v>
      </c>
      <c r="B154" s="89" t="s">
        <v>1192</v>
      </c>
      <c r="C154" s="89" t="s">
        <v>249</v>
      </c>
      <c r="D154" s="89" t="s">
        <v>213</v>
      </c>
      <c r="E154"/>
      <c r="F154"/>
      <c r="G154"/>
      <c r="H154"/>
      <c r="I154"/>
      <c r="J154"/>
    </row>
    <row r="155" spans="1:10" x14ac:dyDescent="0.3">
      <c r="A155" s="89" t="s">
        <v>1193</v>
      </c>
      <c r="B155" s="89" t="s">
        <v>1194</v>
      </c>
      <c r="C155" s="89" t="s">
        <v>249</v>
      </c>
      <c r="D155" s="89" t="s">
        <v>213</v>
      </c>
      <c r="E155"/>
      <c r="F155"/>
      <c r="G155"/>
      <c r="H155"/>
      <c r="I155"/>
      <c r="J155"/>
    </row>
    <row r="156" spans="1:10" x14ac:dyDescent="0.3">
      <c r="A156" s="89" t="s">
        <v>1195</v>
      </c>
      <c r="B156" s="89" t="s">
        <v>1196</v>
      </c>
      <c r="C156" s="89" t="s">
        <v>249</v>
      </c>
      <c r="D156" s="89" t="s">
        <v>213</v>
      </c>
      <c r="E156"/>
      <c r="F156"/>
      <c r="G156"/>
      <c r="H156"/>
      <c r="I156"/>
      <c r="J156"/>
    </row>
    <row r="157" spans="1:10" x14ac:dyDescent="0.3">
      <c r="A157" s="89" t="s">
        <v>1197</v>
      </c>
      <c r="B157" s="89" t="s">
        <v>1198</v>
      </c>
      <c r="C157" s="89" t="s">
        <v>249</v>
      </c>
      <c r="D157" s="89" t="s">
        <v>213</v>
      </c>
      <c r="E157"/>
      <c r="F157"/>
      <c r="G157"/>
      <c r="H157"/>
      <c r="I157"/>
      <c r="J157"/>
    </row>
    <row r="158" spans="1:10" x14ac:dyDescent="0.3">
      <c r="A158" s="89" t="s">
        <v>1199</v>
      </c>
      <c r="B158" s="89" t="s">
        <v>1200</v>
      </c>
      <c r="C158" s="89" t="s">
        <v>249</v>
      </c>
      <c r="D158" s="89" t="s">
        <v>213</v>
      </c>
      <c r="E158"/>
      <c r="F158"/>
      <c r="G158"/>
      <c r="H158"/>
      <c r="I158"/>
      <c r="J158"/>
    </row>
    <row r="159" spans="1:10" x14ac:dyDescent="0.3">
      <c r="A159" s="89" t="s">
        <v>1201</v>
      </c>
      <c r="B159" s="89" t="s">
        <v>1202</v>
      </c>
      <c r="C159" s="89" t="s">
        <v>249</v>
      </c>
      <c r="D159" s="89" t="s">
        <v>213</v>
      </c>
      <c r="E159"/>
      <c r="F159"/>
      <c r="G159"/>
      <c r="H159"/>
      <c r="I159"/>
      <c r="J159"/>
    </row>
    <row r="160" spans="1:10" x14ac:dyDescent="0.3">
      <c r="A160" s="89" t="s">
        <v>1203</v>
      </c>
      <c r="B160" s="89" t="s">
        <v>1204</v>
      </c>
      <c r="C160" s="89" t="s">
        <v>249</v>
      </c>
      <c r="D160" s="89" t="s">
        <v>213</v>
      </c>
      <c r="E160"/>
      <c r="F160"/>
      <c r="G160"/>
      <c r="H160"/>
      <c r="I160"/>
      <c r="J160"/>
    </row>
    <row r="161" spans="1:10" x14ac:dyDescent="0.3">
      <c r="A161" s="89" t="s">
        <v>1205</v>
      </c>
      <c r="B161" s="89" t="s">
        <v>1206</v>
      </c>
      <c r="C161" s="89" t="s">
        <v>249</v>
      </c>
      <c r="D161" s="89" t="s">
        <v>213</v>
      </c>
      <c r="E161"/>
      <c r="F161"/>
      <c r="G161"/>
      <c r="H161"/>
      <c r="I161"/>
      <c r="J161"/>
    </row>
    <row r="162" spans="1:10" x14ac:dyDescent="0.3">
      <c r="A162" s="89" t="s">
        <v>1207</v>
      </c>
      <c r="B162" s="89" t="s">
        <v>1208</v>
      </c>
      <c r="C162" s="89" t="s">
        <v>249</v>
      </c>
      <c r="D162" s="89" t="s">
        <v>213</v>
      </c>
      <c r="E162"/>
      <c r="F162"/>
      <c r="G162"/>
      <c r="H162"/>
      <c r="I162"/>
      <c r="J162"/>
    </row>
    <row r="163" spans="1:10" x14ac:dyDescent="0.3">
      <c r="A163" s="89" t="s">
        <v>1209</v>
      </c>
      <c r="B163" s="89" t="s">
        <v>1210</v>
      </c>
      <c r="C163" s="89" t="s">
        <v>249</v>
      </c>
      <c r="D163" s="89" t="s">
        <v>213</v>
      </c>
      <c r="E163"/>
      <c r="F163"/>
      <c r="G163"/>
      <c r="H163"/>
      <c r="I163"/>
      <c r="J163"/>
    </row>
    <row r="164" spans="1:10" x14ac:dyDescent="0.3">
      <c r="A164" s="89" t="s">
        <v>1211</v>
      </c>
      <c r="B164" s="89" t="s">
        <v>1212</v>
      </c>
      <c r="C164" s="89" t="s">
        <v>249</v>
      </c>
      <c r="D164" s="89" t="s">
        <v>213</v>
      </c>
      <c r="E164"/>
      <c r="F164"/>
      <c r="G164"/>
      <c r="H164"/>
      <c r="I164"/>
      <c r="J164"/>
    </row>
    <row r="165" spans="1:10" x14ac:dyDescent="0.3">
      <c r="A165" s="89" t="s">
        <v>1213</v>
      </c>
      <c r="B165" s="89" t="s">
        <v>1214</v>
      </c>
      <c r="C165" s="89" t="s">
        <v>249</v>
      </c>
      <c r="D165" s="89" t="s">
        <v>213</v>
      </c>
      <c r="E165"/>
      <c r="F165"/>
      <c r="G165"/>
      <c r="H165"/>
      <c r="I165"/>
      <c r="J165"/>
    </row>
    <row r="166" spans="1:10" x14ac:dyDescent="0.3">
      <c r="A166" s="89" t="s">
        <v>1215</v>
      </c>
      <c r="B166" s="89" t="s">
        <v>1216</v>
      </c>
      <c r="C166" s="89" t="s">
        <v>249</v>
      </c>
      <c r="D166" s="89" t="s">
        <v>213</v>
      </c>
      <c r="E166"/>
      <c r="F166"/>
      <c r="G166"/>
      <c r="H166"/>
      <c r="I166"/>
      <c r="J166"/>
    </row>
    <row r="167" spans="1:10" x14ac:dyDescent="0.3">
      <c r="A167" s="89" t="s">
        <v>1217</v>
      </c>
      <c r="B167" s="89" t="s">
        <v>1218</v>
      </c>
      <c r="C167" s="89" t="s">
        <v>249</v>
      </c>
      <c r="D167" s="89" t="s">
        <v>213</v>
      </c>
      <c r="E167"/>
      <c r="F167"/>
      <c r="G167"/>
      <c r="H167"/>
      <c r="I167"/>
      <c r="J167"/>
    </row>
    <row r="168" spans="1:10" x14ac:dyDescent="0.3">
      <c r="A168" s="89" t="s">
        <v>1219</v>
      </c>
      <c r="B168" s="89" t="s">
        <v>1220</v>
      </c>
      <c r="C168" s="89" t="s">
        <v>249</v>
      </c>
      <c r="D168" s="89" t="s">
        <v>213</v>
      </c>
      <c r="E168"/>
      <c r="F168"/>
      <c r="G168"/>
      <c r="H168"/>
      <c r="I168"/>
      <c r="J168"/>
    </row>
    <row r="169" spans="1:10" x14ac:dyDescent="0.3">
      <c r="A169" s="89" t="s">
        <v>1221</v>
      </c>
      <c r="B169" s="89" t="s">
        <v>1222</v>
      </c>
      <c r="C169" s="89" t="s">
        <v>249</v>
      </c>
      <c r="D169" s="89" t="s">
        <v>213</v>
      </c>
      <c r="E169"/>
      <c r="F169"/>
      <c r="G169"/>
      <c r="H169"/>
      <c r="I169"/>
      <c r="J169"/>
    </row>
    <row r="170" spans="1:10" x14ac:dyDescent="0.3">
      <c r="A170" s="89" t="s">
        <v>1223</v>
      </c>
      <c r="B170" s="89" t="s">
        <v>1224</v>
      </c>
      <c r="C170" s="89" t="s">
        <v>249</v>
      </c>
      <c r="D170" s="89" t="s">
        <v>213</v>
      </c>
      <c r="E170"/>
      <c r="F170"/>
      <c r="G170"/>
      <c r="H170"/>
      <c r="I170"/>
      <c r="J170"/>
    </row>
    <row r="171" spans="1:10" x14ac:dyDescent="0.3">
      <c r="A171" s="89" t="s">
        <v>1225</v>
      </c>
      <c r="B171" s="89" t="s">
        <v>1226</v>
      </c>
      <c r="C171" s="89" t="s">
        <v>249</v>
      </c>
      <c r="D171" s="89" t="s">
        <v>213</v>
      </c>
      <c r="E171"/>
      <c r="F171"/>
      <c r="G171"/>
      <c r="H171"/>
      <c r="I171"/>
      <c r="J171"/>
    </row>
    <row r="172" spans="1:10" x14ac:dyDescent="0.3">
      <c r="A172" s="89" t="s">
        <v>1227</v>
      </c>
      <c r="B172" s="89" t="s">
        <v>1228</v>
      </c>
      <c r="C172" s="89" t="s">
        <v>249</v>
      </c>
      <c r="D172" s="89" t="s">
        <v>213</v>
      </c>
      <c r="E172"/>
      <c r="F172"/>
      <c r="G172"/>
      <c r="H172"/>
      <c r="I172"/>
      <c r="J172"/>
    </row>
    <row r="173" spans="1:10" x14ac:dyDescent="0.3">
      <c r="A173" s="89" t="s">
        <v>1229</v>
      </c>
      <c r="B173" s="89" t="s">
        <v>1230</v>
      </c>
      <c r="C173" s="89" t="s">
        <v>249</v>
      </c>
      <c r="D173" s="89" t="s">
        <v>213</v>
      </c>
      <c r="E173"/>
      <c r="F173"/>
      <c r="G173"/>
      <c r="H173"/>
      <c r="I173"/>
      <c r="J173"/>
    </row>
    <row r="174" spans="1:10" x14ac:dyDescent="0.3">
      <c r="A174" s="89" t="s">
        <v>1231</v>
      </c>
      <c r="B174" s="89" t="s">
        <v>1232</v>
      </c>
      <c r="C174" s="89" t="s">
        <v>249</v>
      </c>
      <c r="D174" s="89" t="s">
        <v>213</v>
      </c>
      <c r="E174"/>
      <c r="F174"/>
      <c r="G174"/>
      <c r="H174"/>
      <c r="I174"/>
      <c r="J174"/>
    </row>
    <row r="175" spans="1:10" x14ac:dyDescent="0.3">
      <c r="A175" s="89" t="s">
        <v>1233</v>
      </c>
      <c r="B175" s="89" t="s">
        <v>1234</v>
      </c>
      <c r="C175" s="89" t="s">
        <v>249</v>
      </c>
      <c r="D175" s="89" t="s">
        <v>213</v>
      </c>
      <c r="E175"/>
      <c r="F175"/>
      <c r="G175"/>
      <c r="H175"/>
      <c r="I175"/>
      <c r="J175"/>
    </row>
    <row r="176" spans="1:10" x14ac:dyDescent="0.3">
      <c r="A176" s="89" t="s">
        <v>1235</v>
      </c>
      <c r="B176" s="89" t="s">
        <v>1236</v>
      </c>
      <c r="C176" s="89" t="s">
        <v>249</v>
      </c>
      <c r="D176" s="89" t="s">
        <v>213</v>
      </c>
      <c r="E176"/>
      <c r="F176"/>
      <c r="G176"/>
      <c r="H176"/>
      <c r="I176"/>
      <c r="J176"/>
    </row>
    <row r="177" spans="1:10" x14ac:dyDescent="0.3">
      <c r="A177" s="89" t="s">
        <v>1237</v>
      </c>
      <c r="B177" s="89" t="s">
        <v>1238</v>
      </c>
      <c r="C177" s="89" t="s">
        <v>249</v>
      </c>
      <c r="D177" s="89" t="s">
        <v>213</v>
      </c>
      <c r="E177"/>
      <c r="F177"/>
      <c r="G177"/>
      <c r="H177"/>
      <c r="I177"/>
      <c r="J177"/>
    </row>
    <row r="178" spans="1:10" x14ac:dyDescent="0.3">
      <c r="A178" s="89" t="s">
        <v>1239</v>
      </c>
      <c r="B178" s="89" t="s">
        <v>1240</v>
      </c>
      <c r="C178" s="89" t="s">
        <v>249</v>
      </c>
      <c r="D178" s="89" t="s">
        <v>213</v>
      </c>
      <c r="E178"/>
      <c r="F178"/>
      <c r="G178"/>
      <c r="H178"/>
      <c r="I178"/>
      <c r="J178"/>
    </row>
    <row r="179" spans="1:10" x14ac:dyDescent="0.3">
      <c r="A179" s="89" t="s">
        <v>1241</v>
      </c>
      <c r="B179" s="89" t="s">
        <v>1242</v>
      </c>
      <c r="C179" s="89" t="s">
        <v>249</v>
      </c>
      <c r="D179" s="89" t="s">
        <v>213</v>
      </c>
      <c r="E179"/>
      <c r="F179"/>
      <c r="G179"/>
      <c r="H179"/>
      <c r="I179"/>
      <c r="J179"/>
    </row>
    <row r="180" spans="1:10" x14ac:dyDescent="0.3">
      <c r="A180" s="89" t="s">
        <v>1243</v>
      </c>
      <c r="B180" s="89" t="s">
        <v>1244</v>
      </c>
      <c r="C180" s="89" t="s">
        <v>369</v>
      </c>
      <c r="D180" s="89" t="s">
        <v>213</v>
      </c>
      <c r="E180"/>
      <c r="F180"/>
      <c r="G180"/>
      <c r="H180"/>
      <c r="I180"/>
      <c r="J180"/>
    </row>
    <row r="181" spans="1:10" x14ac:dyDescent="0.3">
      <c r="A181" s="89" t="s">
        <v>1245</v>
      </c>
      <c r="B181" s="89" t="s">
        <v>1246</v>
      </c>
      <c r="C181" s="89" t="s">
        <v>369</v>
      </c>
      <c r="D181" s="89" t="s">
        <v>213</v>
      </c>
      <c r="E181"/>
      <c r="F181"/>
      <c r="G181"/>
      <c r="H181"/>
      <c r="I181"/>
      <c r="J181"/>
    </row>
    <row r="182" spans="1:10" x14ac:dyDescent="0.3">
      <c r="A182" s="89" t="s">
        <v>1247</v>
      </c>
      <c r="B182" s="89" t="s">
        <v>1248</v>
      </c>
      <c r="C182" s="89" t="s">
        <v>369</v>
      </c>
      <c r="D182" s="89" t="s">
        <v>213</v>
      </c>
      <c r="E182"/>
      <c r="F182"/>
      <c r="G182"/>
      <c r="H182"/>
      <c r="I182"/>
      <c r="J182"/>
    </row>
    <row r="183" spans="1:10" x14ac:dyDescent="0.3">
      <c r="A183" s="89" t="s">
        <v>1249</v>
      </c>
      <c r="B183" s="89" t="s">
        <v>1250</v>
      </c>
      <c r="C183" s="89" t="s">
        <v>369</v>
      </c>
      <c r="D183" s="89" t="s">
        <v>213</v>
      </c>
      <c r="E183"/>
      <c r="F183"/>
      <c r="G183"/>
      <c r="H183"/>
      <c r="I183"/>
      <c r="J183"/>
    </row>
    <row r="184" spans="1:10" x14ac:dyDescent="0.3">
      <c r="A184" s="89" t="s">
        <v>1251</v>
      </c>
      <c r="B184" s="89" t="s">
        <v>1252</v>
      </c>
      <c r="C184" s="89" t="s">
        <v>369</v>
      </c>
      <c r="D184" s="89" t="s">
        <v>213</v>
      </c>
      <c r="E184"/>
      <c r="F184"/>
      <c r="G184"/>
      <c r="H184"/>
      <c r="I184"/>
      <c r="J184"/>
    </row>
    <row r="185" spans="1:10" x14ac:dyDescent="0.3">
      <c r="A185" s="89" t="s">
        <v>1253</v>
      </c>
      <c r="B185" s="89" t="s">
        <v>1254</v>
      </c>
      <c r="C185" s="89" t="s">
        <v>369</v>
      </c>
      <c r="D185" s="89" t="s">
        <v>213</v>
      </c>
      <c r="E185"/>
      <c r="F185"/>
      <c r="G185"/>
      <c r="H185"/>
      <c r="I185"/>
      <c r="J185"/>
    </row>
    <row r="186" spans="1:10" x14ac:dyDescent="0.3">
      <c r="A186" s="89" t="s">
        <v>1255</v>
      </c>
      <c r="B186" s="89" t="s">
        <v>1256</v>
      </c>
      <c r="C186" s="89" t="s">
        <v>369</v>
      </c>
      <c r="D186" s="89" t="s">
        <v>213</v>
      </c>
      <c r="E186"/>
      <c r="F186"/>
      <c r="G186"/>
      <c r="H186"/>
      <c r="I186"/>
      <c r="J186"/>
    </row>
    <row r="187" spans="1:10" x14ac:dyDescent="0.3">
      <c r="A187" s="89" t="s">
        <v>1257</v>
      </c>
      <c r="B187" s="89" t="s">
        <v>1208</v>
      </c>
      <c r="C187" s="89" t="s">
        <v>369</v>
      </c>
      <c r="D187" s="89" t="s">
        <v>213</v>
      </c>
      <c r="E187"/>
      <c r="F187"/>
      <c r="G187"/>
      <c r="H187"/>
      <c r="I187"/>
      <c r="J187"/>
    </row>
    <row r="188" spans="1:10" x14ac:dyDescent="0.3">
      <c r="A188" s="89" t="s">
        <v>1258</v>
      </c>
      <c r="B188" s="89" t="s">
        <v>1259</v>
      </c>
      <c r="C188" s="89" t="s">
        <v>369</v>
      </c>
      <c r="D188" s="89" t="s">
        <v>213</v>
      </c>
      <c r="E188"/>
      <c r="F188"/>
      <c r="G188"/>
      <c r="H188"/>
      <c r="I188"/>
      <c r="J188"/>
    </row>
    <row r="189" spans="1:10" x14ac:dyDescent="0.3">
      <c r="A189" s="89" t="s">
        <v>1260</v>
      </c>
      <c r="B189" s="89" t="s">
        <v>1220</v>
      </c>
      <c r="C189" s="89" t="s">
        <v>369</v>
      </c>
      <c r="D189" s="89" t="s">
        <v>213</v>
      </c>
      <c r="E189"/>
      <c r="F189"/>
      <c r="G189"/>
      <c r="H189"/>
      <c r="I189"/>
      <c r="J189"/>
    </row>
    <row r="190" spans="1:10" x14ac:dyDescent="0.3">
      <c r="A190" s="89" t="s">
        <v>1261</v>
      </c>
      <c r="B190" s="89" t="s">
        <v>1262</v>
      </c>
      <c r="C190" s="89" t="s">
        <v>369</v>
      </c>
      <c r="D190" s="89" t="s">
        <v>213</v>
      </c>
      <c r="E190"/>
      <c r="F190"/>
      <c r="G190"/>
      <c r="H190"/>
      <c r="I190"/>
      <c r="J190"/>
    </row>
    <row r="191" spans="1:10" x14ac:dyDescent="0.3">
      <c r="A191" s="89" t="s">
        <v>1263</v>
      </c>
      <c r="B191" s="89" t="s">
        <v>1264</v>
      </c>
      <c r="C191" s="89" t="s">
        <v>369</v>
      </c>
      <c r="D191" s="89" t="s">
        <v>213</v>
      </c>
      <c r="E191"/>
      <c r="F191"/>
      <c r="G191"/>
      <c r="H191"/>
      <c r="I191"/>
      <c r="J191"/>
    </row>
    <row r="192" spans="1:10" x14ac:dyDescent="0.3">
      <c r="A192" s="89" t="s">
        <v>1265</v>
      </c>
      <c r="B192" s="89" t="s">
        <v>1266</v>
      </c>
      <c r="C192" s="89" t="s">
        <v>369</v>
      </c>
      <c r="D192" s="89" t="s">
        <v>213</v>
      </c>
      <c r="E192"/>
      <c r="F192"/>
      <c r="G192"/>
      <c r="H192"/>
      <c r="I192"/>
      <c r="J192"/>
    </row>
    <row r="193" spans="1:10" x14ac:dyDescent="0.3">
      <c r="A193" s="89" t="s">
        <v>1267</v>
      </c>
      <c r="B193" s="89" t="s">
        <v>1268</v>
      </c>
      <c r="C193" s="89" t="s">
        <v>369</v>
      </c>
      <c r="D193" s="89" t="s">
        <v>213</v>
      </c>
      <c r="E193"/>
      <c r="F193"/>
      <c r="G193"/>
      <c r="H193"/>
      <c r="I193"/>
      <c r="J193"/>
    </row>
    <row r="194" spans="1:10" x14ac:dyDescent="0.3">
      <c r="A194" s="89" t="s">
        <v>1269</v>
      </c>
      <c r="B194" s="89" t="s">
        <v>1270</v>
      </c>
      <c r="C194" s="89" t="s">
        <v>369</v>
      </c>
      <c r="D194" s="89" t="s">
        <v>213</v>
      </c>
      <c r="E194"/>
      <c r="F194"/>
      <c r="G194"/>
      <c r="H194"/>
      <c r="I194"/>
      <c r="J194"/>
    </row>
    <row r="195" spans="1:10" x14ac:dyDescent="0.3">
      <c r="A195" s="89" t="s">
        <v>1271</v>
      </c>
      <c r="B195" s="89" t="s">
        <v>1272</v>
      </c>
      <c r="C195" s="89" t="s">
        <v>369</v>
      </c>
      <c r="D195" s="89" t="s">
        <v>213</v>
      </c>
      <c r="E195"/>
      <c r="F195"/>
      <c r="G195"/>
      <c r="H195"/>
      <c r="I195"/>
      <c r="J195"/>
    </row>
    <row r="196" spans="1:10" x14ac:dyDescent="0.3">
      <c r="A196" s="89" t="s">
        <v>1273</v>
      </c>
      <c r="B196" s="89" t="s">
        <v>1274</v>
      </c>
      <c r="C196" s="89" t="s">
        <v>369</v>
      </c>
      <c r="D196" s="89" t="s">
        <v>213</v>
      </c>
      <c r="E196"/>
      <c r="F196"/>
      <c r="G196"/>
      <c r="H196"/>
      <c r="I196"/>
      <c r="J196"/>
    </row>
    <row r="197" spans="1:10" x14ac:dyDescent="0.3">
      <c r="A197" s="89" t="s">
        <v>1275</v>
      </c>
      <c r="B197" s="89" t="s">
        <v>1276</v>
      </c>
      <c r="C197" s="89" t="s">
        <v>369</v>
      </c>
      <c r="D197" s="89" t="s">
        <v>213</v>
      </c>
      <c r="E197"/>
      <c r="F197"/>
      <c r="G197"/>
      <c r="H197"/>
      <c r="I197"/>
      <c r="J197"/>
    </row>
    <row r="198" spans="1:10" x14ac:dyDescent="0.3">
      <c r="A198" s="89" t="s">
        <v>1277</v>
      </c>
      <c r="B198" s="89" t="s">
        <v>1278</v>
      </c>
      <c r="C198" s="89" t="s">
        <v>369</v>
      </c>
      <c r="D198" s="89" t="s">
        <v>213</v>
      </c>
      <c r="E198"/>
      <c r="F198"/>
      <c r="G198"/>
      <c r="H198"/>
      <c r="I198"/>
      <c r="J198"/>
    </row>
    <row r="199" spans="1:10" x14ac:dyDescent="0.3">
      <c r="A199" s="89" t="s">
        <v>1279</v>
      </c>
      <c r="B199" s="89" t="s">
        <v>1280</v>
      </c>
      <c r="C199" s="89" t="s">
        <v>369</v>
      </c>
      <c r="D199" s="89" t="s">
        <v>213</v>
      </c>
      <c r="E199"/>
      <c r="F199"/>
      <c r="G199"/>
      <c r="H199"/>
      <c r="I199"/>
      <c r="J199"/>
    </row>
    <row r="200" spans="1:10" x14ac:dyDescent="0.3">
      <c r="A200" s="89" t="s">
        <v>1281</v>
      </c>
      <c r="B200" s="89" t="s">
        <v>1282</v>
      </c>
      <c r="C200" s="89" t="s">
        <v>369</v>
      </c>
      <c r="D200" s="89" t="s">
        <v>213</v>
      </c>
      <c r="E200"/>
      <c r="F200"/>
      <c r="G200"/>
      <c r="H200"/>
      <c r="I200"/>
      <c r="J200"/>
    </row>
    <row r="201" spans="1:10" x14ac:dyDescent="0.3">
      <c r="A201" s="89" t="s">
        <v>1283</v>
      </c>
      <c r="B201" s="89" t="s">
        <v>1284</v>
      </c>
      <c r="C201" s="89" t="s">
        <v>369</v>
      </c>
      <c r="D201" s="89" t="s">
        <v>213</v>
      </c>
      <c r="E201"/>
      <c r="F201"/>
      <c r="G201"/>
      <c r="H201"/>
      <c r="I201"/>
      <c r="J201"/>
    </row>
    <row r="202" spans="1:10" x14ac:dyDescent="0.3">
      <c r="A202" s="89" t="s">
        <v>1285</v>
      </c>
      <c r="B202" s="89" t="s">
        <v>1286</v>
      </c>
      <c r="C202" s="89" t="s">
        <v>369</v>
      </c>
      <c r="D202" s="89" t="s">
        <v>213</v>
      </c>
      <c r="E202"/>
      <c r="F202"/>
      <c r="G202"/>
      <c r="H202"/>
      <c r="I202"/>
      <c r="J202"/>
    </row>
    <row r="203" spans="1:10" x14ac:dyDescent="0.3">
      <c r="A203" s="89" t="s">
        <v>1287</v>
      </c>
      <c r="B203" s="89" t="s">
        <v>1288</v>
      </c>
      <c r="C203" s="89" t="s">
        <v>369</v>
      </c>
      <c r="D203" s="89" t="s">
        <v>213</v>
      </c>
      <c r="E203"/>
      <c r="F203"/>
      <c r="G203"/>
      <c r="H203"/>
      <c r="I203"/>
      <c r="J203"/>
    </row>
    <row r="204" spans="1:10" x14ac:dyDescent="0.3">
      <c r="A204" s="89" t="s">
        <v>1289</v>
      </c>
      <c r="B204" s="89" t="s">
        <v>1290</v>
      </c>
      <c r="C204" s="89" t="s">
        <v>369</v>
      </c>
      <c r="D204" s="89" t="s">
        <v>213</v>
      </c>
      <c r="E204"/>
      <c r="F204"/>
      <c r="G204"/>
      <c r="H204"/>
      <c r="I204"/>
      <c r="J204"/>
    </row>
    <row r="205" spans="1:10" x14ac:dyDescent="0.3">
      <c r="A205" s="89" t="s">
        <v>1291</v>
      </c>
      <c r="B205" s="89" t="s">
        <v>1292</v>
      </c>
      <c r="C205" s="89" t="s">
        <v>369</v>
      </c>
      <c r="D205" s="89" t="s">
        <v>213</v>
      </c>
      <c r="E205"/>
      <c r="F205"/>
      <c r="G205"/>
      <c r="H205"/>
      <c r="I205"/>
      <c r="J205"/>
    </row>
    <row r="206" spans="1:10" x14ac:dyDescent="0.3">
      <c r="A206" s="89" t="s">
        <v>1293</v>
      </c>
      <c r="B206" s="89" t="s">
        <v>1294</v>
      </c>
      <c r="C206" s="89" t="s">
        <v>369</v>
      </c>
      <c r="D206" s="89" t="s">
        <v>213</v>
      </c>
      <c r="E206"/>
      <c r="F206"/>
      <c r="G206"/>
      <c r="H206"/>
      <c r="I206"/>
      <c r="J206"/>
    </row>
    <row r="207" spans="1:10" x14ac:dyDescent="0.3">
      <c r="A207" s="89" t="s">
        <v>1295</v>
      </c>
      <c r="B207" s="89" t="s">
        <v>1296</v>
      </c>
      <c r="C207" s="89" t="s">
        <v>369</v>
      </c>
      <c r="D207" s="89" t="s">
        <v>213</v>
      </c>
      <c r="E207"/>
      <c r="F207"/>
      <c r="G207"/>
      <c r="H207"/>
      <c r="I207"/>
      <c r="J207"/>
    </row>
    <row r="208" spans="1:10" x14ac:dyDescent="0.3">
      <c r="A208" s="89" t="s">
        <v>1297</v>
      </c>
      <c r="B208" s="89" t="s">
        <v>1298</v>
      </c>
      <c r="C208" s="89" t="s">
        <v>369</v>
      </c>
      <c r="D208" s="89" t="s">
        <v>213</v>
      </c>
      <c r="E208"/>
      <c r="F208"/>
      <c r="G208"/>
      <c r="H208"/>
      <c r="I208"/>
      <c r="J208"/>
    </row>
    <row r="209" spans="1:10" x14ac:dyDescent="0.3">
      <c r="A209" s="89" t="s">
        <v>1299</v>
      </c>
      <c r="B209" s="89" t="s">
        <v>1300</v>
      </c>
      <c r="C209" s="89" t="s">
        <v>369</v>
      </c>
      <c r="D209" s="89" t="s">
        <v>213</v>
      </c>
      <c r="E209"/>
      <c r="F209"/>
      <c r="G209"/>
      <c r="H209"/>
      <c r="I209"/>
      <c r="J209"/>
    </row>
    <row r="210" spans="1:10" x14ac:dyDescent="0.3">
      <c r="A210" s="89" t="s">
        <v>1301</v>
      </c>
      <c r="B210" s="89" t="s">
        <v>1302</v>
      </c>
      <c r="C210" s="89" t="s">
        <v>369</v>
      </c>
      <c r="D210" s="89" t="s">
        <v>213</v>
      </c>
      <c r="E210"/>
      <c r="F210"/>
      <c r="G210"/>
      <c r="H210"/>
      <c r="I210"/>
      <c r="J210"/>
    </row>
    <row r="211" spans="1:10" x14ac:dyDescent="0.3">
      <c r="A211" s="89" t="s">
        <v>1303</v>
      </c>
      <c r="B211" s="89" t="s">
        <v>1304</v>
      </c>
      <c r="C211" s="89" t="s">
        <v>369</v>
      </c>
      <c r="D211" s="89" t="s">
        <v>213</v>
      </c>
      <c r="E211"/>
      <c r="F211"/>
      <c r="G211"/>
      <c r="H211"/>
      <c r="I211"/>
      <c r="J211"/>
    </row>
    <row r="212" spans="1:10" x14ac:dyDescent="0.3">
      <c r="A212" s="89" t="s">
        <v>1305</v>
      </c>
      <c r="B212" s="89" t="s">
        <v>1306</v>
      </c>
      <c r="C212" s="89" t="s">
        <v>369</v>
      </c>
      <c r="D212" s="89" t="s">
        <v>213</v>
      </c>
      <c r="E212"/>
      <c r="F212"/>
      <c r="G212"/>
      <c r="H212"/>
      <c r="I212"/>
      <c r="J212"/>
    </row>
    <row r="213" spans="1:10" x14ac:dyDescent="0.3">
      <c r="A213" s="89" t="s">
        <v>1307</v>
      </c>
      <c r="B213" s="89" t="s">
        <v>1308</v>
      </c>
      <c r="C213" s="89" t="s">
        <v>369</v>
      </c>
      <c r="D213" s="89" t="s">
        <v>213</v>
      </c>
      <c r="E213"/>
      <c r="F213"/>
      <c r="G213"/>
      <c r="H213"/>
      <c r="I213"/>
      <c r="J213"/>
    </row>
    <row r="214" spans="1:10" x14ac:dyDescent="0.3">
      <c r="A214" s="89" t="s">
        <v>1309</v>
      </c>
      <c r="B214" s="89" t="s">
        <v>1310</v>
      </c>
      <c r="C214" s="89" t="s">
        <v>369</v>
      </c>
      <c r="D214" s="89" t="s">
        <v>213</v>
      </c>
      <c r="E214"/>
      <c r="F214"/>
      <c r="G214"/>
      <c r="H214"/>
      <c r="I214"/>
      <c r="J214"/>
    </row>
    <row r="215" spans="1:10" x14ac:dyDescent="0.3">
      <c r="A215" s="89" t="s">
        <v>1311</v>
      </c>
      <c r="B215" s="89" t="s">
        <v>1312</v>
      </c>
      <c r="C215" s="89" t="s">
        <v>369</v>
      </c>
      <c r="D215" s="89" t="s">
        <v>213</v>
      </c>
      <c r="E215"/>
      <c r="F215"/>
      <c r="G215"/>
      <c r="H215"/>
      <c r="I215"/>
      <c r="J215"/>
    </row>
    <row r="216" spans="1:10" x14ac:dyDescent="0.3">
      <c r="A216" s="89" t="s">
        <v>1313</v>
      </c>
      <c r="B216" s="89" t="s">
        <v>1314</v>
      </c>
      <c r="C216" s="89" t="s">
        <v>369</v>
      </c>
      <c r="D216" s="89" t="s">
        <v>213</v>
      </c>
      <c r="E216"/>
      <c r="F216"/>
      <c r="G216"/>
      <c r="H216"/>
      <c r="I216"/>
      <c r="J216"/>
    </row>
    <row r="217" spans="1:10" x14ac:dyDescent="0.3">
      <c r="A217" s="89" t="s">
        <v>1315</v>
      </c>
      <c r="B217" s="89" t="s">
        <v>1316</v>
      </c>
      <c r="C217" s="89" t="s">
        <v>369</v>
      </c>
      <c r="D217" s="89" t="s">
        <v>213</v>
      </c>
      <c r="E217"/>
      <c r="F217"/>
      <c r="G217"/>
      <c r="H217"/>
      <c r="I217"/>
      <c r="J217"/>
    </row>
    <row r="218" spans="1:10" x14ac:dyDescent="0.3">
      <c r="A218" s="89" t="s">
        <v>1317</v>
      </c>
      <c r="B218" s="89" t="s">
        <v>1318</v>
      </c>
      <c r="C218" s="89" t="s">
        <v>369</v>
      </c>
      <c r="D218" s="89" t="s">
        <v>213</v>
      </c>
      <c r="E218"/>
      <c r="F218"/>
      <c r="G218"/>
      <c r="H218"/>
      <c r="I218"/>
      <c r="J218"/>
    </row>
    <row r="219" spans="1:10" x14ac:dyDescent="0.3">
      <c r="A219" s="89" t="s">
        <v>1319</v>
      </c>
      <c r="B219" s="89" t="s">
        <v>1320</v>
      </c>
      <c r="C219" s="89" t="s">
        <v>369</v>
      </c>
      <c r="D219" s="89" t="s">
        <v>213</v>
      </c>
      <c r="E219"/>
      <c r="F219"/>
      <c r="G219"/>
      <c r="H219"/>
      <c r="I219"/>
      <c r="J219"/>
    </row>
    <row r="220" spans="1:10" x14ac:dyDescent="0.3">
      <c r="A220" s="89" t="s">
        <v>1321</v>
      </c>
      <c r="B220" s="89" t="s">
        <v>1322</v>
      </c>
      <c r="C220" s="89" t="s">
        <v>369</v>
      </c>
      <c r="D220" s="89" t="s">
        <v>213</v>
      </c>
      <c r="E220"/>
      <c r="F220"/>
      <c r="G220"/>
      <c r="H220"/>
      <c r="I220"/>
      <c r="J220"/>
    </row>
    <row r="221" spans="1:10" x14ac:dyDescent="0.3">
      <c r="A221" s="89" t="s">
        <v>1323</v>
      </c>
      <c r="B221" s="89" t="s">
        <v>1324</v>
      </c>
      <c r="C221" s="89" t="s">
        <v>369</v>
      </c>
      <c r="D221" s="89" t="s">
        <v>213</v>
      </c>
      <c r="E221"/>
      <c r="F221"/>
      <c r="G221"/>
      <c r="H221"/>
      <c r="I221"/>
      <c r="J221"/>
    </row>
    <row r="222" spans="1:10" x14ac:dyDescent="0.3">
      <c r="A222" s="89" t="s">
        <v>1325</v>
      </c>
      <c r="B222" s="89" t="s">
        <v>1326</v>
      </c>
      <c r="C222" s="89" t="s">
        <v>369</v>
      </c>
      <c r="D222" s="89" t="s">
        <v>213</v>
      </c>
      <c r="E222"/>
      <c r="F222"/>
      <c r="G222"/>
      <c r="H222"/>
      <c r="I222"/>
      <c r="J222"/>
    </row>
    <row r="223" spans="1:10" x14ac:dyDescent="0.3">
      <c r="A223" s="89" t="s">
        <v>1327</v>
      </c>
      <c r="B223" s="89" t="s">
        <v>1328</v>
      </c>
      <c r="C223" s="89" t="s">
        <v>213</v>
      </c>
      <c r="D223" s="89" t="s">
        <v>213</v>
      </c>
      <c r="E223"/>
      <c r="F223"/>
      <c r="G223"/>
      <c r="H223"/>
      <c r="I223"/>
      <c r="J223"/>
    </row>
    <row r="224" spans="1:10" x14ac:dyDescent="0.3">
      <c r="A224" s="89" t="s">
        <v>1329</v>
      </c>
      <c r="B224" s="89" t="s">
        <v>1330</v>
      </c>
      <c r="C224" s="89" t="s">
        <v>213</v>
      </c>
      <c r="D224" s="89" t="s">
        <v>213</v>
      </c>
      <c r="E224"/>
      <c r="F224"/>
      <c r="G224"/>
      <c r="H224"/>
      <c r="I224"/>
      <c r="J224"/>
    </row>
    <row r="225" spans="1:10" x14ac:dyDescent="0.3">
      <c r="A225" s="89" t="s">
        <v>1049</v>
      </c>
      <c r="B225" s="89" t="s">
        <v>1331</v>
      </c>
      <c r="C225" s="89" t="s">
        <v>213</v>
      </c>
      <c r="D225" s="89" t="s">
        <v>213</v>
      </c>
      <c r="E225"/>
      <c r="F225"/>
      <c r="G225"/>
      <c r="H225"/>
      <c r="I225"/>
      <c r="J225"/>
    </row>
    <row r="226" spans="1:10" x14ac:dyDescent="0.3">
      <c r="A226" s="89" t="s">
        <v>1332</v>
      </c>
      <c r="B226" s="89" t="s">
        <v>1333</v>
      </c>
      <c r="C226" s="89" t="s">
        <v>213</v>
      </c>
      <c r="D226" s="89" t="s">
        <v>213</v>
      </c>
      <c r="E226"/>
      <c r="F226"/>
      <c r="G226"/>
      <c r="H226"/>
      <c r="I226"/>
      <c r="J226"/>
    </row>
    <row r="227" spans="1:10" x14ac:dyDescent="0.3">
      <c r="A227" s="89" t="s">
        <v>1334</v>
      </c>
      <c r="B227" s="89" t="s">
        <v>1335</v>
      </c>
      <c r="C227" s="89" t="s">
        <v>213</v>
      </c>
      <c r="D227" s="89" t="s">
        <v>213</v>
      </c>
      <c r="E227"/>
      <c r="F227"/>
      <c r="G227"/>
      <c r="H227"/>
      <c r="I227"/>
      <c r="J227"/>
    </row>
    <row r="228" spans="1:10" x14ac:dyDescent="0.3">
      <c r="A228" s="89" t="s">
        <v>1336</v>
      </c>
      <c r="B228" s="89" t="s">
        <v>1337</v>
      </c>
      <c r="C228" s="89" t="s">
        <v>213</v>
      </c>
      <c r="D228" s="89" t="s">
        <v>213</v>
      </c>
      <c r="E228"/>
      <c r="F228"/>
      <c r="G228"/>
      <c r="H228"/>
      <c r="I228"/>
      <c r="J228"/>
    </row>
    <row r="229" spans="1:10" x14ac:dyDescent="0.3">
      <c r="A229" s="89" t="s">
        <v>1338</v>
      </c>
      <c r="B229" s="89" t="s">
        <v>737</v>
      </c>
      <c r="C229" s="89" t="s">
        <v>213</v>
      </c>
      <c r="D229" s="89" t="s">
        <v>213</v>
      </c>
      <c r="F229"/>
      <c r="G229"/>
      <c r="H229"/>
      <c r="I229"/>
      <c r="J229"/>
    </row>
    <row r="230" spans="1:10" x14ac:dyDescent="0.3">
      <c r="F230"/>
      <c r="G230"/>
      <c r="H230"/>
      <c r="I230"/>
      <c r="J230"/>
    </row>
    <row r="231" spans="1:10" x14ac:dyDescent="0.3">
      <c r="F231"/>
      <c r="G231"/>
      <c r="H231"/>
      <c r="I231"/>
      <c r="J231"/>
    </row>
    <row r="232" spans="1:10" x14ac:dyDescent="0.3">
      <c r="F232"/>
      <c r="G232"/>
      <c r="H232"/>
      <c r="I232"/>
      <c r="J232"/>
    </row>
    <row r="233" spans="1:10" x14ac:dyDescent="0.3">
      <c r="F233"/>
      <c r="G233"/>
      <c r="H233"/>
      <c r="I233"/>
      <c r="J233"/>
    </row>
    <row r="234" spans="1:10" x14ac:dyDescent="0.3">
      <c r="F234"/>
      <c r="G234"/>
      <c r="H234"/>
      <c r="I234"/>
      <c r="J234"/>
    </row>
    <row r="235" spans="1:10" x14ac:dyDescent="0.3">
      <c r="F235"/>
      <c r="G235"/>
      <c r="H235"/>
      <c r="I235"/>
      <c r="J235"/>
    </row>
    <row r="236" spans="1:10" x14ac:dyDescent="0.3">
      <c r="F236"/>
      <c r="G236"/>
      <c r="H236"/>
      <c r="I236"/>
      <c r="J236"/>
    </row>
    <row r="237" spans="1:10" x14ac:dyDescent="0.3">
      <c r="I237"/>
      <c r="J237"/>
    </row>
    <row r="238" spans="1:10" x14ac:dyDescent="0.3">
      <c r="I238"/>
      <c r="J238"/>
    </row>
    <row r="239" spans="1:10" x14ac:dyDescent="0.3">
      <c r="I239"/>
      <c r="J239"/>
    </row>
    <row r="240" spans="1:10" x14ac:dyDescent="0.3">
      <c r="I240"/>
      <c r="J240"/>
    </row>
    <row r="241" spans="9:10" x14ac:dyDescent="0.3">
      <c r="I241"/>
      <c r="J241"/>
    </row>
    <row r="242" spans="9:10" x14ac:dyDescent="0.3">
      <c r="I242"/>
      <c r="J242"/>
    </row>
    <row r="243" spans="9:10" x14ac:dyDescent="0.3">
      <c r="I243"/>
      <c r="J243"/>
    </row>
    <row r="244" spans="9:10" x14ac:dyDescent="0.3">
      <c r="I244"/>
      <c r="J244"/>
    </row>
    <row r="245" spans="9:10" x14ac:dyDescent="0.3">
      <c r="I245"/>
      <c r="J245"/>
    </row>
    <row r="246" spans="9:10" x14ac:dyDescent="0.3">
      <c r="I246"/>
      <c r="J246"/>
    </row>
    <row r="247" spans="9:10" x14ac:dyDescent="0.3">
      <c r="I247" s="88"/>
      <c r="J247"/>
    </row>
    <row r="248" spans="9:10" x14ac:dyDescent="0.3">
      <c r="I248" s="88"/>
      <c r="J248"/>
    </row>
    <row r="249" spans="9:10" x14ac:dyDescent="0.3">
      <c r="I249" s="88"/>
      <c r="J24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2"/>
  <sheetViews>
    <sheetView workbookViewId="0">
      <selection sqref="A1:B22"/>
    </sheetView>
  </sheetViews>
  <sheetFormatPr defaultRowHeight="14.4" x14ac:dyDescent="0.3"/>
  <cols>
    <col min="1" max="1" width="16.21875" bestFit="1" customWidth="1"/>
    <col min="2" max="2" width="11" bestFit="1" customWidth="1"/>
  </cols>
  <sheetData>
    <row r="1" spans="1:2" x14ac:dyDescent="0.3">
      <c r="A1" t="s">
        <v>186</v>
      </c>
      <c r="B1" t="s">
        <v>189</v>
      </c>
    </row>
    <row r="2" spans="1:2" x14ac:dyDescent="0.3">
      <c r="A2" s="1" t="s">
        <v>190</v>
      </c>
      <c r="B2">
        <v>973333665</v>
      </c>
    </row>
    <row r="3" spans="1:2" x14ac:dyDescent="0.3">
      <c r="A3" s="1" t="s">
        <v>191</v>
      </c>
      <c r="B3">
        <v>2113018507</v>
      </c>
    </row>
    <row r="4" spans="1:2" x14ac:dyDescent="0.3">
      <c r="A4" s="1" t="s">
        <v>192</v>
      </c>
      <c r="B4">
        <v>709834612</v>
      </c>
    </row>
    <row r="5" spans="1:2" x14ac:dyDescent="0.3">
      <c r="A5" s="1" t="s">
        <v>193</v>
      </c>
      <c r="B5">
        <v>230895153</v>
      </c>
    </row>
    <row r="6" spans="1:2" x14ac:dyDescent="0.3">
      <c r="A6" s="1" t="s">
        <v>194</v>
      </c>
      <c r="B6">
        <v>1597625762</v>
      </c>
    </row>
    <row r="7" spans="1:2" x14ac:dyDescent="0.3">
      <c r="A7" s="1" t="s">
        <v>253</v>
      </c>
      <c r="B7">
        <v>686504076</v>
      </c>
    </row>
    <row r="8" spans="1:2" x14ac:dyDescent="0.3">
      <c r="A8" s="1" t="s">
        <v>195</v>
      </c>
      <c r="B8">
        <v>2062681902</v>
      </c>
    </row>
    <row r="9" spans="1:2" x14ac:dyDescent="0.3">
      <c r="A9" s="1" t="s">
        <v>157</v>
      </c>
    </row>
    <row r="10" spans="1:2" x14ac:dyDescent="0.3">
      <c r="A10" s="1" t="s">
        <v>196</v>
      </c>
      <c r="B10">
        <v>1161701760</v>
      </c>
    </row>
    <row r="11" spans="1:2" x14ac:dyDescent="0.3">
      <c r="A11" s="1" t="s">
        <v>197</v>
      </c>
      <c r="B11">
        <v>1472633102</v>
      </c>
    </row>
    <row r="12" spans="1:2" x14ac:dyDescent="0.3">
      <c r="A12" s="1" t="s">
        <v>198</v>
      </c>
      <c r="B12">
        <v>1278805402</v>
      </c>
    </row>
    <row r="13" spans="1:2" x14ac:dyDescent="0.3">
      <c r="A13" s="1" t="s">
        <v>199</v>
      </c>
      <c r="B13">
        <v>1726873486</v>
      </c>
    </row>
    <row r="14" spans="1:2" x14ac:dyDescent="0.3">
      <c r="A14" s="1" t="s">
        <v>200</v>
      </c>
      <c r="B14">
        <v>893460134</v>
      </c>
    </row>
    <row r="15" spans="1:2" x14ac:dyDescent="0.3">
      <c r="A15" s="1" t="s">
        <v>201</v>
      </c>
      <c r="B15">
        <v>427059784</v>
      </c>
    </row>
    <row r="16" spans="1:2" x14ac:dyDescent="0.3">
      <c r="A16" s="1" t="s">
        <v>157</v>
      </c>
    </row>
    <row r="17" spans="1:2" x14ac:dyDescent="0.3">
      <c r="A17" s="1" t="s">
        <v>202</v>
      </c>
      <c r="B17">
        <v>1263361270</v>
      </c>
    </row>
    <row r="18" spans="1:2" x14ac:dyDescent="0.3">
      <c r="A18" s="1" t="s">
        <v>203</v>
      </c>
      <c r="B18">
        <v>1975485526</v>
      </c>
    </row>
    <row r="19" spans="1:2" x14ac:dyDescent="0.3">
      <c r="A19" s="1" t="s">
        <v>204</v>
      </c>
      <c r="B19">
        <v>1765763815</v>
      </c>
    </row>
    <row r="20" spans="1:2" x14ac:dyDescent="0.3">
      <c r="A20" s="1" t="s">
        <v>252</v>
      </c>
      <c r="B20">
        <v>1758280819</v>
      </c>
    </row>
    <row r="21" spans="1:2" x14ac:dyDescent="0.3">
      <c r="A21" s="1" t="s">
        <v>253</v>
      </c>
      <c r="B21">
        <v>686504076</v>
      </c>
    </row>
    <row r="22" spans="1:2" x14ac:dyDescent="0.3">
      <c r="A22" s="1" t="s">
        <v>254</v>
      </c>
      <c r="B22">
        <v>424690443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111"/>
  <sheetViews>
    <sheetView workbookViewId="0">
      <selection sqref="A1:M111"/>
    </sheetView>
  </sheetViews>
  <sheetFormatPr defaultRowHeight="14.4" x14ac:dyDescent="0.3"/>
  <cols>
    <col min="1" max="1" width="51.6640625" bestFit="1" customWidth="1"/>
    <col min="2" max="2" width="11.33203125" bestFit="1" customWidth="1"/>
    <col min="3" max="3" width="44.33203125" bestFit="1" customWidth="1"/>
    <col min="4" max="4" width="25.77734375" bestFit="1" customWidth="1"/>
    <col min="5" max="5" width="32.33203125" bestFit="1" customWidth="1"/>
    <col min="6" max="6" width="47" bestFit="1" customWidth="1"/>
    <col min="7" max="9" width="10.77734375" bestFit="1" customWidth="1"/>
    <col min="10" max="13" width="11.77734375" bestFit="1" customWidth="1"/>
  </cols>
  <sheetData>
    <row r="1" spans="1:13" x14ac:dyDescent="0.3">
      <c r="A1" t="s">
        <v>105</v>
      </c>
      <c r="B1" t="s">
        <v>106</v>
      </c>
      <c r="C1" t="s">
        <v>107</v>
      </c>
      <c r="D1" t="s">
        <v>108</v>
      </c>
      <c r="E1" t="s">
        <v>109</v>
      </c>
      <c r="F1" t="s">
        <v>392</v>
      </c>
      <c r="G1" t="s">
        <v>393</v>
      </c>
      <c r="H1" t="s">
        <v>394</v>
      </c>
      <c r="I1" t="s">
        <v>395</v>
      </c>
      <c r="J1" t="s">
        <v>396</v>
      </c>
      <c r="K1" t="s">
        <v>397</v>
      </c>
      <c r="L1" t="s">
        <v>398</v>
      </c>
      <c r="M1" t="s">
        <v>399</v>
      </c>
    </row>
    <row r="2" spans="1:13" x14ac:dyDescent="0.3">
      <c r="A2" s="89" t="s">
        <v>23</v>
      </c>
      <c r="B2" s="89" t="s">
        <v>24</v>
      </c>
      <c r="C2" s="89" t="s">
        <v>25</v>
      </c>
      <c r="D2" s="89" t="s">
        <v>26</v>
      </c>
      <c r="E2" s="89" t="s">
        <v>27</v>
      </c>
      <c r="F2" s="89" t="s">
        <v>390</v>
      </c>
      <c r="G2" s="89" t="s">
        <v>389</v>
      </c>
      <c r="H2" s="89" t="s">
        <v>400</v>
      </c>
      <c r="I2" s="89" t="s">
        <v>251</v>
      </c>
      <c r="J2" s="89" t="s">
        <v>391</v>
      </c>
      <c r="K2" s="89" t="s">
        <v>389</v>
      </c>
      <c r="L2" s="89" t="s">
        <v>401</v>
      </c>
      <c r="M2" s="89" t="s">
        <v>251</v>
      </c>
    </row>
    <row r="3" spans="1:13" x14ac:dyDescent="0.3">
      <c r="A3" s="89" t="s">
        <v>413</v>
      </c>
      <c r="B3" s="89" t="s">
        <v>349</v>
      </c>
      <c r="C3" s="89" t="s">
        <v>378</v>
      </c>
      <c r="D3" s="89" t="s">
        <v>60</v>
      </c>
      <c r="E3" s="89" t="s">
        <v>59</v>
      </c>
      <c r="F3" s="89" t="s">
        <v>157</v>
      </c>
      <c r="G3" s="89" t="s">
        <v>112</v>
      </c>
      <c r="H3" s="89" t="s">
        <v>402</v>
      </c>
      <c r="I3" s="89" t="s">
        <v>251</v>
      </c>
      <c r="J3" s="89" t="s">
        <v>157</v>
      </c>
      <c r="K3" s="89" t="s">
        <v>112</v>
      </c>
      <c r="L3" s="89" t="s">
        <v>401</v>
      </c>
      <c r="M3" s="89" t="s">
        <v>251</v>
      </c>
    </row>
    <row r="4" spans="1:13" x14ac:dyDescent="0.3">
      <c r="A4" s="89" t="s">
        <v>414</v>
      </c>
      <c r="B4" s="89" t="s">
        <v>379</v>
      </c>
      <c r="C4" s="89" t="s">
        <v>380</v>
      </c>
      <c r="D4" s="89" t="s">
        <v>76</v>
      </c>
      <c r="E4" s="89" t="s">
        <v>97</v>
      </c>
      <c r="F4" s="89" t="s">
        <v>157</v>
      </c>
      <c r="G4" s="89" t="s">
        <v>157</v>
      </c>
      <c r="H4" s="89" t="s">
        <v>157</v>
      </c>
      <c r="I4" s="89" t="s">
        <v>157</v>
      </c>
      <c r="J4" s="89" t="s">
        <v>157</v>
      </c>
      <c r="K4" s="89" t="s">
        <v>157</v>
      </c>
      <c r="L4" s="89" t="s">
        <v>157</v>
      </c>
      <c r="M4" s="89" t="s">
        <v>157</v>
      </c>
    </row>
    <row r="5" spans="1:13" x14ac:dyDescent="0.3">
      <c r="A5" s="89" t="s">
        <v>415</v>
      </c>
      <c r="B5" s="89" t="s">
        <v>416</v>
      </c>
      <c r="C5" s="89" t="s">
        <v>417</v>
      </c>
      <c r="D5" s="89" t="s">
        <v>68</v>
      </c>
      <c r="E5" s="89" t="s">
        <v>75</v>
      </c>
      <c r="F5" s="89" t="s">
        <v>732</v>
      </c>
      <c r="G5" s="89" t="s">
        <v>157</v>
      </c>
      <c r="H5" s="89" t="s">
        <v>157</v>
      </c>
      <c r="I5" s="89" t="s">
        <v>157</v>
      </c>
      <c r="J5" s="89" t="s">
        <v>157</v>
      </c>
      <c r="K5" s="89" t="s">
        <v>157</v>
      </c>
      <c r="L5" s="89" t="s">
        <v>157</v>
      </c>
      <c r="M5" s="89" t="s">
        <v>157</v>
      </c>
    </row>
    <row r="6" spans="1:13" x14ac:dyDescent="0.3">
      <c r="A6" s="89" t="s">
        <v>586</v>
      </c>
      <c r="B6" s="89" t="s">
        <v>587</v>
      </c>
      <c r="C6" s="89" t="s">
        <v>588</v>
      </c>
      <c r="D6" s="89" t="s">
        <v>693</v>
      </c>
      <c r="E6" s="89" t="s">
        <v>67</v>
      </c>
      <c r="F6" s="89" t="s">
        <v>733</v>
      </c>
      <c r="G6" s="89" t="s">
        <v>157</v>
      </c>
      <c r="H6" s="89" t="s">
        <v>157</v>
      </c>
      <c r="I6" s="89" t="s">
        <v>157</v>
      </c>
      <c r="J6" s="89" t="s">
        <v>157</v>
      </c>
      <c r="K6" s="89" t="s">
        <v>157</v>
      </c>
      <c r="L6" s="89" t="s">
        <v>157</v>
      </c>
      <c r="M6" s="89" t="s">
        <v>157</v>
      </c>
    </row>
    <row r="7" spans="1:13" x14ac:dyDescent="0.3">
      <c r="A7" s="89" t="s">
        <v>418</v>
      </c>
      <c r="B7" s="89" t="s">
        <v>419</v>
      </c>
      <c r="C7" s="89" t="s">
        <v>420</v>
      </c>
      <c r="D7" s="89" t="s">
        <v>694</v>
      </c>
      <c r="E7" s="89" t="s">
        <v>63</v>
      </c>
      <c r="F7" s="89" t="s">
        <v>157</v>
      </c>
      <c r="G7" s="89" t="s">
        <v>157</v>
      </c>
      <c r="H7" s="89" t="s">
        <v>157</v>
      </c>
      <c r="I7" s="89" t="s">
        <v>157</v>
      </c>
      <c r="J7" s="89" t="s">
        <v>157</v>
      </c>
      <c r="K7" s="89" t="s">
        <v>157</v>
      </c>
      <c r="L7" s="89" t="s">
        <v>157</v>
      </c>
      <c r="M7" s="89" t="s">
        <v>157</v>
      </c>
    </row>
    <row r="8" spans="1:13" x14ac:dyDescent="0.3">
      <c r="A8" s="89" t="s">
        <v>287</v>
      </c>
      <c r="B8" s="89" t="s">
        <v>288</v>
      </c>
      <c r="C8" s="89" t="s">
        <v>289</v>
      </c>
      <c r="D8" s="89" t="s">
        <v>695</v>
      </c>
      <c r="E8" s="89" t="s">
        <v>66</v>
      </c>
      <c r="F8" s="89" t="s">
        <v>157</v>
      </c>
      <c r="G8" s="89" t="s">
        <v>157</v>
      </c>
      <c r="H8" s="89" t="s">
        <v>157</v>
      </c>
      <c r="I8" s="89" t="s">
        <v>157</v>
      </c>
      <c r="J8" s="89" t="s">
        <v>157</v>
      </c>
      <c r="K8" s="89" t="s">
        <v>157</v>
      </c>
      <c r="L8" s="89" t="s">
        <v>157</v>
      </c>
      <c r="M8" s="89" t="s">
        <v>157</v>
      </c>
    </row>
    <row r="9" spans="1:13" x14ac:dyDescent="0.3">
      <c r="A9" s="89" t="s">
        <v>281</v>
      </c>
      <c r="B9" s="89" t="s">
        <v>282</v>
      </c>
      <c r="C9" s="89" t="s">
        <v>283</v>
      </c>
      <c r="D9" s="89" t="s">
        <v>696</v>
      </c>
      <c r="E9" s="89" t="s">
        <v>87</v>
      </c>
      <c r="F9" s="89" t="s">
        <v>157</v>
      </c>
      <c r="G9" s="89" t="s">
        <v>157</v>
      </c>
      <c r="H9" s="89" t="s">
        <v>157</v>
      </c>
      <c r="I9" s="89" t="s">
        <v>157</v>
      </c>
      <c r="J9" s="89" t="s">
        <v>157</v>
      </c>
      <c r="K9" s="89" t="s">
        <v>157</v>
      </c>
      <c r="L9" s="89" t="s">
        <v>157</v>
      </c>
      <c r="M9" s="89" t="s">
        <v>157</v>
      </c>
    </row>
    <row r="10" spans="1:13" x14ac:dyDescent="0.3">
      <c r="A10" s="89" t="s">
        <v>270</v>
      </c>
      <c r="B10" s="89" t="s">
        <v>271</v>
      </c>
      <c r="C10" s="89" t="s">
        <v>272</v>
      </c>
      <c r="D10" s="89" t="s">
        <v>697</v>
      </c>
      <c r="E10" s="89" t="s">
        <v>422</v>
      </c>
      <c r="F10" s="89" t="s">
        <v>157</v>
      </c>
      <c r="G10" s="89" t="s">
        <v>157</v>
      </c>
      <c r="H10" s="89" t="s">
        <v>157</v>
      </c>
      <c r="I10" s="89" t="s">
        <v>157</v>
      </c>
      <c r="J10" s="89" t="s">
        <v>157</v>
      </c>
      <c r="K10" s="89" t="s">
        <v>157</v>
      </c>
      <c r="L10" s="89" t="s">
        <v>157</v>
      </c>
      <c r="M10" s="89" t="s">
        <v>157</v>
      </c>
    </row>
    <row r="11" spans="1:13" x14ac:dyDescent="0.3">
      <c r="A11" s="89" t="s">
        <v>423</v>
      </c>
      <c r="B11" s="89" t="s">
        <v>424</v>
      </c>
      <c r="C11" s="89" t="s">
        <v>425</v>
      </c>
      <c r="D11" s="89" t="s">
        <v>146</v>
      </c>
      <c r="E11" s="89" t="s">
        <v>33</v>
      </c>
      <c r="F11" s="89" t="s">
        <v>157</v>
      </c>
      <c r="G11" s="89" t="s">
        <v>157</v>
      </c>
      <c r="H11" s="89" t="s">
        <v>157</v>
      </c>
      <c r="I11" s="89" t="s">
        <v>157</v>
      </c>
      <c r="J11" s="89" t="s">
        <v>157</v>
      </c>
      <c r="K11" s="89" t="s">
        <v>157</v>
      </c>
      <c r="L11" s="89" t="s">
        <v>157</v>
      </c>
      <c r="M11" s="89" t="s">
        <v>157</v>
      </c>
    </row>
    <row r="12" spans="1:13" x14ac:dyDescent="0.3">
      <c r="A12" s="89" t="s">
        <v>426</v>
      </c>
      <c r="B12" s="89" t="s">
        <v>427</v>
      </c>
      <c r="C12" s="89" t="s">
        <v>428</v>
      </c>
      <c r="D12" s="89" t="s">
        <v>698</v>
      </c>
      <c r="E12" s="89" t="s">
        <v>88</v>
      </c>
      <c r="F12" s="89" t="s">
        <v>157</v>
      </c>
      <c r="G12" s="89" t="s">
        <v>157</v>
      </c>
      <c r="H12" s="89" t="s">
        <v>157</v>
      </c>
      <c r="I12" s="89" t="s">
        <v>157</v>
      </c>
      <c r="J12" s="89" t="s">
        <v>157</v>
      </c>
      <c r="K12" s="89" t="s">
        <v>157</v>
      </c>
      <c r="L12" s="89" t="s">
        <v>157</v>
      </c>
      <c r="M12" s="89" t="s">
        <v>157</v>
      </c>
    </row>
    <row r="13" spans="1:13" x14ac:dyDescent="0.3">
      <c r="A13" s="89" t="s">
        <v>429</v>
      </c>
      <c r="B13" s="89" t="s">
        <v>255</v>
      </c>
      <c r="C13" s="89" t="s">
        <v>430</v>
      </c>
      <c r="D13" s="89" t="s">
        <v>699</v>
      </c>
      <c r="E13" s="89" t="s">
        <v>61</v>
      </c>
      <c r="F13" s="89" t="s">
        <v>157</v>
      </c>
      <c r="G13" s="89" t="s">
        <v>157</v>
      </c>
      <c r="H13" s="89" t="s">
        <v>157</v>
      </c>
      <c r="I13" s="89" t="s">
        <v>157</v>
      </c>
      <c r="J13" s="89" t="s">
        <v>157</v>
      </c>
      <c r="K13" s="89" t="s">
        <v>157</v>
      </c>
      <c r="L13" s="89" t="s">
        <v>157</v>
      </c>
      <c r="M13" s="89" t="s">
        <v>157</v>
      </c>
    </row>
    <row r="14" spans="1:13" x14ac:dyDescent="0.3">
      <c r="A14" s="89" t="s">
        <v>284</v>
      </c>
      <c r="B14" s="89" t="s">
        <v>285</v>
      </c>
      <c r="C14" s="89" t="s">
        <v>286</v>
      </c>
      <c r="D14" s="89" t="s">
        <v>421</v>
      </c>
      <c r="E14" s="89" t="s">
        <v>91</v>
      </c>
      <c r="F14" s="89" t="s">
        <v>157</v>
      </c>
      <c r="G14" s="89" t="s">
        <v>157</v>
      </c>
      <c r="H14" s="89" t="s">
        <v>157</v>
      </c>
      <c r="I14" s="89" t="s">
        <v>157</v>
      </c>
      <c r="J14" s="89" t="s">
        <v>157</v>
      </c>
      <c r="K14" s="89" t="s">
        <v>157</v>
      </c>
      <c r="L14" s="89" t="s">
        <v>157</v>
      </c>
      <c r="M14" s="89" t="s">
        <v>157</v>
      </c>
    </row>
    <row r="15" spans="1:13" x14ac:dyDescent="0.3">
      <c r="A15" s="89" t="s">
        <v>431</v>
      </c>
      <c r="B15" s="89" t="s">
        <v>432</v>
      </c>
      <c r="C15" s="89" t="s">
        <v>292</v>
      </c>
      <c r="D15" s="89" t="s">
        <v>34</v>
      </c>
      <c r="E15" s="89" t="s">
        <v>90</v>
      </c>
      <c r="F15" s="89" t="s">
        <v>157</v>
      </c>
      <c r="G15" s="89" t="s">
        <v>157</v>
      </c>
      <c r="H15" s="89" t="s">
        <v>157</v>
      </c>
      <c r="I15" s="89" t="s">
        <v>157</v>
      </c>
      <c r="J15" s="89" t="s">
        <v>157</v>
      </c>
      <c r="K15" s="89" t="s">
        <v>157</v>
      </c>
      <c r="L15" s="89" t="s">
        <v>157</v>
      </c>
      <c r="M15" s="89" t="s">
        <v>157</v>
      </c>
    </row>
    <row r="16" spans="1:13" x14ac:dyDescent="0.3">
      <c r="A16" s="89" t="s">
        <v>290</v>
      </c>
      <c r="B16" s="89" t="s">
        <v>291</v>
      </c>
      <c r="C16" s="89" t="s">
        <v>292</v>
      </c>
      <c r="D16" s="89" t="s">
        <v>89</v>
      </c>
      <c r="E16" s="89" t="s">
        <v>69</v>
      </c>
      <c r="F16" s="89" t="s">
        <v>157</v>
      </c>
      <c r="G16" s="89" t="s">
        <v>157</v>
      </c>
      <c r="H16" s="89" t="s">
        <v>157</v>
      </c>
      <c r="I16" s="89" t="s">
        <v>157</v>
      </c>
      <c r="J16" s="89" t="s">
        <v>157</v>
      </c>
      <c r="K16" s="89" t="s">
        <v>157</v>
      </c>
      <c r="L16" s="89" t="s">
        <v>157</v>
      </c>
      <c r="M16" s="89" t="s">
        <v>157</v>
      </c>
    </row>
    <row r="17" spans="1:13" x14ac:dyDescent="0.3">
      <c r="A17" s="89" t="s">
        <v>433</v>
      </c>
      <c r="B17" s="89" t="s">
        <v>434</v>
      </c>
      <c r="C17" s="89" t="s">
        <v>435</v>
      </c>
      <c r="D17" s="89" t="s">
        <v>700</v>
      </c>
      <c r="E17" s="89" t="s">
        <v>92</v>
      </c>
      <c r="F17" s="89" t="s">
        <v>157</v>
      </c>
      <c r="G17" s="89" t="s">
        <v>157</v>
      </c>
      <c r="H17" s="89" t="s">
        <v>157</v>
      </c>
      <c r="I17" s="89" t="s">
        <v>157</v>
      </c>
      <c r="J17" s="89" t="s">
        <v>157</v>
      </c>
      <c r="K17" s="89" t="s">
        <v>157</v>
      </c>
      <c r="L17" s="89" t="s">
        <v>157</v>
      </c>
      <c r="M17" s="89" t="s">
        <v>157</v>
      </c>
    </row>
    <row r="18" spans="1:13" x14ac:dyDescent="0.3">
      <c r="A18" s="89" t="s">
        <v>293</v>
      </c>
      <c r="B18" s="89" t="s">
        <v>294</v>
      </c>
      <c r="C18" s="89" t="s">
        <v>295</v>
      </c>
      <c r="D18" s="89" t="s">
        <v>701</v>
      </c>
      <c r="E18" s="89" t="s">
        <v>94</v>
      </c>
      <c r="F18" s="89" t="s">
        <v>157</v>
      </c>
      <c r="G18" s="89" t="s">
        <v>157</v>
      </c>
      <c r="H18" s="89" t="s">
        <v>157</v>
      </c>
      <c r="I18" s="89" t="s">
        <v>157</v>
      </c>
      <c r="J18" s="89" t="s">
        <v>157</v>
      </c>
      <c r="K18" s="89" t="s">
        <v>157</v>
      </c>
      <c r="L18" s="89" t="s">
        <v>157</v>
      </c>
      <c r="M18" s="89" t="s">
        <v>157</v>
      </c>
    </row>
    <row r="19" spans="1:13" x14ac:dyDescent="0.3">
      <c r="A19" s="89" t="s">
        <v>437</v>
      </c>
      <c r="B19" s="89" t="s">
        <v>438</v>
      </c>
      <c r="C19" s="89" t="s">
        <v>439</v>
      </c>
      <c r="D19" s="89" t="s">
        <v>702</v>
      </c>
      <c r="E19" s="89" t="s">
        <v>95</v>
      </c>
      <c r="F19" s="89" t="s">
        <v>157</v>
      </c>
      <c r="G19" s="89" t="s">
        <v>157</v>
      </c>
      <c r="H19" s="89" t="s">
        <v>157</v>
      </c>
      <c r="I19" s="89" t="s">
        <v>157</v>
      </c>
      <c r="J19" s="89" t="s">
        <v>157</v>
      </c>
      <c r="K19" s="89" t="s">
        <v>157</v>
      </c>
      <c r="L19" s="89" t="s">
        <v>157</v>
      </c>
      <c r="M19" s="89" t="s">
        <v>157</v>
      </c>
    </row>
    <row r="20" spans="1:13" x14ac:dyDescent="0.3">
      <c r="A20" s="89" t="s">
        <v>440</v>
      </c>
      <c r="B20" s="89" t="s">
        <v>441</v>
      </c>
      <c r="C20" s="89" t="s">
        <v>442</v>
      </c>
      <c r="D20" s="89" t="s">
        <v>70</v>
      </c>
      <c r="E20" s="89" t="s">
        <v>71</v>
      </c>
      <c r="F20" s="89" t="s">
        <v>157</v>
      </c>
      <c r="G20" s="89" t="s">
        <v>157</v>
      </c>
      <c r="H20" s="89" t="s">
        <v>157</v>
      </c>
      <c r="I20" s="89" t="s">
        <v>157</v>
      </c>
      <c r="J20" s="89" t="s">
        <v>157</v>
      </c>
      <c r="K20" s="89" t="s">
        <v>157</v>
      </c>
      <c r="L20" s="89" t="s">
        <v>157</v>
      </c>
      <c r="M20" s="89" t="s">
        <v>157</v>
      </c>
    </row>
    <row r="21" spans="1:13" x14ac:dyDescent="0.3">
      <c r="A21" s="89" t="s">
        <v>443</v>
      </c>
      <c r="B21" s="89" t="s">
        <v>296</v>
      </c>
      <c r="C21" s="89" t="s">
        <v>444</v>
      </c>
      <c r="D21" s="89" t="s">
        <v>703</v>
      </c>
      <c r="E21" s="89" t="s">
        <v>57</v>
      </c>
      <c r="F21" s="89" t="s">
        <v>157</v>
      </c>
      <c r="G21" s="89" t="s">
        <v>157</v>
      </c>
      <c r="H21" s="89" t="s">
        <v>157</v>
      </c>
      <c r="I21" s="89" t="s">
        <v>157</v>
      </c>
      <c r="J21" s="89" t="s">
        <v>157</v>
      </c>
      <c r="K21" s="89" t="s">
        <v>157</v>
      </c>
      <c r="L21" s="89" t="s">
        <v>157</v>
      </c>
      <c r="M21" s="89" t="s">
        <v>157</v>
      </c>
    </row>
    <row r="22" spans="1:13" x14ac:dyDescent="0.3">
      <c r="A22" s="89" t="s">
        <v>267</v>
      </c>
      <c r="B22" s="89" t="s">
        <v>268</v>
      </c>
      <c r="C22" s="89" t="s">
        <v>269</v>
      </c>
      <c r="D22" s="89" t="s">
        <v>704</v>
      </c>
      <c r="E22" s="89" t="s">
        <v>73</v>
      </c>
      <c r="F22" s="89" t="s">
        <v>157</v>
      </c>
      <c r="G22" s="89" t="s">
        <v>157</v>
      </c>
      <c r="H22" s="89" t="s">
        <v>157</v>
      </c>
      <c r="I22" s="89" t="s">
        <v>157</v>
      </c>
      <c r="J22" s="89" t="s">
        <v>157</v>
      </c>
      <c r="K22" s="89" t="s">
        <v>157</v>
      </c>
      <c r="L22" s="89" t="s">
        <v>157</v>
      </c>
      <c r="M22" s="89" t="s">
        <v>157</v>
      </c>
    </row>
    <row r="23" spans="1:13" x14ac:dyDescent="0.3">
      <c r="A23" s="89" t="s">
        <v>445</v>
      </c>
      <c r="B23" s="89" t="s">
        <v>122</v>
      </c>
      <c r="C23" s="89" t="s">
        <v>446</v>
      </c>
      <c r="D23" s="89" t="s">
        <v>436</v>
      </c>
      <c r="E23" s="89" t="s">
        <v>96</v>
      </c>
      <c r="F23" s="89" t="s">
        <v>157</v>
      </c>
      <c r="G23" s="89" t="s">
        <v>157</v>
      </c>
      <c r="H23" s="89" t="s">
        <v>157</v>
      </c>
      <c r="I23" s="89" t="s">
        <v>157</v>
      </c>
      <c r="J23" s="89" t="s">
        <v>157</v>
      </c>
      <c r="K23" s="89" t="s">
        <v>157</v>
      </c>
      <c r="L23" s="89" t="s">
        <v>157</v>
      </c>
      <c r="M23" s="89" t="s">
        <v>157</v>
      </c>
    </row>
    <row r="24" spans="1:13" x14ac:dyDescent="0.3">
      <c r="A24" s="89" t="s">
        <v>447</v>
      </c>
      <c r="B24" s="89" t="s">
        <v>123</v>
      </c>
      <c r="C24" s="89" t="s">
        <v>448</v>
      </c>
      <c r="D24" s="89" t="s">
        <v>705</v>
      </c>
      <c r="E24" s="89" t="s">
        <v>74</v>
      </c>
      <c r="F24" s="89" t="s">
        <v>157</v>
      </c>
      <c r="G24" s="89" t="s">
        <v>157</v>
      </c>
      <c r="H24" s="89" t="s">
        <v>157</v>
      </c>
      <c r="I24" s="89" t="s">
        <v>157</v>
      </c>
      <c r="J24" s="89" t="s">
        <v>157</v>
      </c>
      <c r="K24" s="89" t="s">
        <v>157</v>
      </c>
      <c r="L24" s="89" t="s">
        <v>157</v>
      </c>
      <c r="M24" s="89" t="s">
        <v>157</v>
      </c>
    </row>
    <row r="25" spans="1:13" x14ac:dyDescent="0.3">
      <c r="A25" s="89" t="s">
        <v>449</v>
      </c>
      <c r="B25" s="89" t="s">
        <v>450</v>
      </c>
      <c r="C25" s="89" t="s">
        <v>13</v>
      </c>
      <c r="D25" s="89" t="s">
        <v>147</v>
      </c>
      <c r="E25" s="89" t="s">
        <v>157</v>
      </c>
      <c r="F25" s="89" t="s">
        <v>157</v>
      </c>
      <c r="G25" s="89" t="s">
        <v>157</v>
      </c>
      <c r="H25" s="89" t="s">
        <v>157</v>
      </c>
      <c r="I25" s="89" t="s">
        <v>157</v>
      </c>
      <c r="J25" s="89" t="s">
        <v>157</v>
      </c>
      <c r="K25" s="89" t="s">
        <v>157</v>
      </c>
      <c r="L25" s="89" t="s">
        <v>157</v>
      </c>
      <c r="M25" s="89" t="s">
        <v>157</v>
      </c>
    </row>
    <row r="26" spans="1:13" x14ac:dyDescent="0.3">
      <c r="A26" s="89" t="s">
        <v>350</v>
      </c>
      <c r="B26" s="89" t="s">
        <v>351</v>
      </c>
      <c r="C26" s="89" t="s">
        <v>13</v>
      </c>
      <c r="D26" s="89" t="s">
        <v>706</v>
      </c>
      <c r="E26" s="89" t="s">
        <v>62</v>
      </c>
      <c r="F26" s="89" t="s">
        <v>157</v>
      </c>
      <c r="G26" s="89" t="s">
        <v>157</v>
      </c>
      <c r="H26" s="89" t="s">
        <v>157</v>
      </c>
      <c r="I26" s="89" t="s">
        <v>157</v>
      </c>
      <c r="J26" s="89" t="s">
        <v>157</v>
      </c>
      <c r="K26" s="89" t="s">
        <v>157</v>
      </c>
      <c r="L26" s="89" t="s">
        <v>157</v>
      </c>
      <c r="M26" s="89" t="s">
        <v>157</v>
      </c>
    </row>
    <row r="27" spans="1:13" x14ac:dyDescent="0.3">
      <c r="A27" s="89" t="s">
        <v>455</v>
      </c>
      <c r="B27" s="89" t="s">
        <v>456</v>
      </c>
      <c r="C27" s="89" t="s">
        <v>319</v>
      </c>
      <c r="D27" s="89" t="s">
        <v>707</v>
      </c>
      <c r="E27" s="89" t="s">
        <v>452</v>
      </c>
      <c r="F27" s="89" t="s">
        <v>157</v>
      </c>
      <c r="G27" s="89" t="s">
        <v>157</v>
      </c>
      <c r="H27" s="89" t="s">
        <v>157</v>
      </c>
      <c r="I27" s="89" t="s">
        <v>157</v>
      </c>
      <c r="J27" s="89" t="s">
        <v>157</v>
      </c>
      <c r="K27" s="89" t="s">
        <v>157</v>
      </c>
      <c r="L27" s="89" t="s">
        <v>157</v>
      </c>
      <c r="M27" s="89" t="s">
        <v>157</v>
      </c>
    </row>
    <row r="28" spans="1:13" x14ac:dyDescent="0.3">
      <c r="A28" s="89" t="s">
        <v>327</v>
      </c>
      <c r="B28" s="89" t="s">
        <v>328</v>
      </c>
      <c r="C28" s="89" t="s">
        <v>329</v>
      </c>
      <c r="D28" s="89" t="s">
        <v>510</v>
      </c>
      <c r="E28" s="89" t="s">
        <v>454</v>
      </c>
      <c r="F28" s="89" t="s">
        <v>157</v>
      </c>
      <c r="G28" s="89" t="s">
        <v>157</v>
      </c>
      <c r="H28" s="89" t="s">
        <v>157</v>
      </c>
      <c r="I28" s="89" t="s">
        <v>157</v>
      </c>
      <c r="J28" s="89" t="s">
        <v>157</v>
      </c>
      <c r="K28" s="89" t="s">
        <v>157</v>
      </c>
      <c r="L28" s="89" t="s">
        <v>157</v>
      </c>
      <c r="M28" s="89" t="s">
        <v>157</v>
      </c>
    </row>
    <row r="29" spans="1:13" x14ac:dyDescent="0.3">
      <c r="A29" s="89" t="s">
        <v>457</v>
      </c>
      <c r="B29" s="89" t="s">
        <v>458</v>
      </c>
      <c r="C29" s="89" t="s">
        <v>15</v>
      </c>
      <c r="D29" s="89" t="s">
        <v>72</v>
      </c>
      <c r="E29" s="89" t="s">
        <v>39</v>
      </c>
      <c r="F29" s="89" t="s">
        <v>157</v>
      </c>
      <c r="G29" s="89" t="s">
        <v>157</v>
      </c>
      <c r="H29" s="89" t="s">
        <v>157</v>
      </c>
      <c r="I29" s="89" t="s">
        <v>157</v>
      </c>
      <c r="J29" s="89" t="s">
        <v>157</v>
      </c>
      <c r="K29" s="89" t="s">
        <v>157</v>
      </c>
      <c r="L29" s="89" t="s">
        <v>157</v>
      </c>
      <c r="M29" s="89" t="s">
        <v>157</v>
      </c>
    </row>
    <row r="30" spans="1:13" x14ac:dyDescent="0.3">
      <c r="A30" s="89" t="s">
        <v>4</v>
      </c>
      <c r="B30" s="89" t="s">
        <v>117</v>
      </c>
      <c r="C30" s="89" t="s">
        <v>15</v>
      </c>
      <c r="D30" s="89" t="s">
        <v>58</v>
      </c>
      <c r="E30" s="89" t="s">
        <v>84</v>
      </c>
      <c r="F30" s="89" t="s">
        <v>157</v>
      </c>
      <c r="G30" s="89" t="s">
        <v>157</v>
      </c>
      <c r="H30" s="89" t="s">
        <v>157</v>
      </c>
      <c r="I30" s="89" t="s">
        <v>157</v>
      </c>
      <c r="J30" s="89" t="s">
        <v>157</v>
      </c>
      <c r="K30" s="89" t="s">
        <v>157</v>
      </c>
      <c r="L30" s="89" t="s">
        <v>157</v>
      </c>
      <c r="M30" s="89" t="s">
        <v>157</v>
      </c>
    </row>
    <row r="31" spans="1:13" x14ac:dyDescent="0.3">
      <c r="A31" s="89" t="s">
        <v>459</v>
      </c>
      <c r="B31" s="89" t="s">
        <v>460</v>
      </c>
      <c r="C31" s="89" t="s">
        <v>461</v>
      </c>
      <c r="D31" s="89" t="s">
        <v>148</v>
      </c>
      <c r="E31" s="89" t="s">
        <v>86</v>
      </c>
      <c r="F31" s="89" t="s">
        <v>157</v>
      </c>
      <c r="G31" s="89" t="s">
        <v>157</v>
      </c>
      <c r="H31" s="89" t="s">
        <v>157</v>
      </c>
      <c r="I31" s="89" t="s">
        <v>157</v>
      </c>
      <c r="J31" s="89" t="s">
        <v>157</v>
      </c>
      <c r="K31" s="89" t="s">
        <v>157</v>
      </c>
      <c r="L31" s="89" t="s">
        <v>157</v>
      </c>
      <c r="M31" s="89" t="s">
        <v>157</v>
      </c>
    </row>
    <row r="32" spans="1:13" x14ac:dyDescent="0.3">
      <c r="A32" s="89" t="s">
        <v>462</v>
      </c>
      <c r="B32" s="89" t="s">
        <v>463</v>
      </c>
      <c r="C32" s="89" t="s">
        <v>464</v>
      </c>
      <c r="D32" s="89" t="s">
        <v>708</v>
      </c>
      <c r="E32" s="89" t="s">
        <v>41</v>
      </c>
      <c r="F32" s="89" t="s">
        <v>157</v>
      </c>
      <c r="G32" s="89" t="s">
        <v>157</v>
      </c>
      <c r="H32" s="89" t="s">
        <v>157</v>
      </c>
      <c r="I32" s="89" t="s">
        <v>157</v>
      </c>
      <c r="J32" s="89" t="s">
        <v>157</v>
      </c>
      <c r="K32" s="89" t="s">
        <v>157</v>
      </c>
      <c r="L32" s="89" t="s">
        <v>157</v>
      </c>
      <c r="M32" s="89" t="s">
        <v>157</v>
      </c>
    </row>
    <row r="33" spans="1:13" x14ac:dyDescent="0.3">
      <c r="A33" s="89" t="s">
        <v>465</v>
      </c>
      <c r="B33" s="89" t="s">
        <v>466</v>
      </c>
      <c r="C33" s="89" t="s">
        <v>467</v>
      </c>
      <c r="D33" s="89" t="s">
        <v>149</v>
      </c>
      <c r="E33" s="89" t="s">
        <v>323</v>
      </c>
      <c r="F33" s="89" t="s">
        <v>157</v>
      </c>
      <c r="G33" s="89" t="s">
        <v>157</v>
      </c>
      <c r="H33" s="89" t="s">
        <v>157</v>
      </c>
      <c r="I33" s="89" t="s">
        <v>157</v>
      </c>
      <c r="J33" s="89" t="s">
        <v>157</v>
      </c>
      <c r="K33" s="89" t="s">
        <v>157</v>
      </c>
      <c r="L33" s="89" t="s">
        <v>157</v>
      </c>
      <c r="M33" s="89" t="s">
        <v>157</v>
      </c>
    </row>
    <row r="34" spans="1:13" x14ac:dyDescent="0.3">
      <c r="A34" s="89" t="s">
        <v>468</v>
      </c>
      <c r="B34" s="89" t="s">
        <v>469</v>
      </c>
      <c r="C34" s="89" t="s">
        <v>470</v>
      </c>
      <c r="D34" s="89" t="s">
        <v>589</v>
      </c>
      <c r="E34" s="89" t="s">
        <v>43</v>
      </c>
      <c r="F34" s="89" t="s">
        <v>157</v>
      </c>
      <c r="G34" s="89" t="s">
        <v>157</v>
      </c>
      <c r="H34" s="89" t="s">
        <v>157</v>
      </c>
      <c r="I34" s="89" t="s">
        <v>157</v>
      </c>
      <c r="J34" s="89" t="s">
        <v>157</v>
      </c>
      <c r="K34" s="89" t="s">
        <v>157</v>
      </c>
      <c r="L34" s="89" t="s">
        <v>157</v>
      </c>
      <c r="M34" s="89" t="s">
        <v>157</v>
      </c>
    </row>
    <row r="35" spans="1:13" x14ac:dyDescent="0.3">
      <c r="A35" s="89" t="s">
        <v>471</v>
      </c>
      <c r="B35" s="89" t="s">
        <v>472</v>
      </c>
      <c r="C35" s="89" t="s">
        <v>473</v>
      </c>
      <c r="D35" s="89" t="s">
        <v>101</v>
      </c>
      <c r="E35" s="89" t="s">
        <v>45</v>
      </c>
      <c r="F35" s="89" t="s">
        <v>157</v>
      </c>
      <c r="G35" s="89" t="s">
        <v>157</v>
      </c>
      <c r="H35" s="89" t="s">
        <v>157</v>
      </c>
      <c r="I35" s="89" t="s">
        <v>157</v>
      </c>
      <c r="J35" s="89" t="s">
        <v>157</v>
      </c>
      <c r="K35" s="89" t="s">
        <v>157</v>
      </c>
      <c r="L35" s="89" t="s">
        <v>157</v>
      </c>
      <c r="M35" s="89" t="s">
        <v>157</v>
      </c>
    </row>
    <row r="36" spans="1:13" x14ac:dyDescent="0.3">
      <c r="A36" s="89" t="s">
        <v>363</v>
      </c>
      <c r="B36" s="89" t="s">
        <v>364</v>
      </c>
      <c r="C36" s="89" t="s">
        <v>14</v>
      </c>
      <c r="D36" s="89" t="s">
        <v>591</v>
      </c>
      <c r="E36" s="89" t="s">
        <v>47</v>
      </c>
      <c r="F36" s="89" t="s">
        <v>157</v>
      </c>
      <c r="G36" s="89" t="s">
        <v>157</v>
      </c>
      <c r="H36" s="89" t="s">
        <v>157</v>
      </c>
      <c r="I36" s="89" t="s">
        <v>157</v>
      </c>
      <c r="J36" s="89" t="s">
        <v>157</v>
      </c>
      <c r="K36" s="89" t="s">
        <v>157</v>
      </c>
      <c r="L36" s="89" t="s">
        <v>157</v>
      </c>
      <c r="M36" s="89" t="s">
        <v>157</v>
      </c>
    </row>
    <row r="37" spans="1:13" x14ac:dyDescent="0.3">
      <c r="A37" s="89" t="s">
        <v>383</v>
      </c>
      <c r="B37" s="89" t="s">
        <v>384</v>
      </c>
      <c r="C37" s="89" t="s">
        <v>385</v>
      </c>
      <c r="D37" s="89" t="s">
        <v>150</v>
      </c>
      <c r="E37" s="89" t="s">
        <v>64</v>
      </c>
      <c r="F37" s="89" t="s">
        <v>157</v>
      </c>
      <c r="G37" s="89" t="s">
        <v>157</v>
      </c>
      <c r="H37" s="89" t="s">
        <v>157</v>
      </c>
      <c r="I37" s="89" t="s">
        <v>157</v>
      </c>
      <c r="J37" s="89" t="s">
        <v>157</v>
      </c>
      <c r="K37" s="89" t="s">
        <v>157</v>
      </c>
      <c r="L37" s="89" t="s">
        <v>157</v>
      </c>
      <c r="M37" s="89" t="s">
        <v>157</v>
      </c>
    </row>
    <row r="38" spans="1:13" x14ac:dyDescent="0.3">
      <c r="A38" s="89" t="s">
        <v>6</v>
      </c>
      <c r="B38" s="89" t="s">
        <v>141</v>
      </c>
      <c r="C38" s="89" t="s">
        <v>18</v>
      </c>
      <c r="D38" s="89" t="s">
        <v>451</v>
      </c>
      <c r="E38" s="89" t="s">
        <v>56</v>
      </c>
      <c r="F38" s="89" t="s">
        <v>157</v>
      </c>
      <c r="G38" s="89" t="s">
        <v>157</v>
      </c>
      <c r="H38" s="89" t="s">
        <v>157</v>
      </c>
      <c r="I38" s="89" t="s">
        <v>157</v>
      </c>
      <c r="J38" s="89" t="s">
        <v>157</v>
      </c>
      <c r="K38" s="89" t="s">
        <v>157</v>
      </c>
      <c r="L38" s="89" t="s">
        <v>157</v>
      </c>
      <c r="M38" s="89" t="s">
        <v>157</v>
      </c>
    </row>
    <row r="39" spans="1:13" x14ac:dyDescent="0.3">
      <c r="A39" s="89" t="s">
        <v>324</v>
      </c>
      <c r="B39" s="89" t="s">
        <v>325</v>
      </c>
      <c r="C39" s="89" t="s">
        <v>326</v>
      </c>
      <c r="D39" s="89" t="s">
        <v>453</v>
      </c>
      <c r="E39" s="89" t="s">
        <v>157</v>
      </c>
      <c r="F39" s="89" t="s">
        <v>157</v>
      </c>
      <c r="G39" s="89" t="s">
        <v>157</v>
      </c>
      <c r="H39" s="89" t="s">
        <v>157</v>
      </c>
      <c r="I39" s="89" t="s">
        <v>157</v>
      </c>
      <c r="J39" s="89" t="s">
        <v>157</v>
      </c>
      <c r="K39" s="89" t="s">
        <v>157</v>
      </c>
      <c r="L39" s="89" t="s">
        <v>157</v>
      </c>
      <c r="M39" s="89" t="s">
        <v>157</v>
      </c>
    </row>
    <row r="40" spans="1:13" x14ac:dyDescent="0.3">
      <c r="A40" s="89" t="s">
        <v>474</v>
      </c>
      <c r="B40" s="89" t="s">
        <v>124</v>
      </c>
      <c r="C40" s="89" t="s">
        <v>475</v>
      </c>
      <c r="D40" s="89" t="s">
        <v>40</v>
      </c>
      <c r="E40" s="89" t="s">
        <v>93</v>
      </c>
      <c r="F40" s="89" t="s">
        <v>157</v>
      </c>
      <c r="G40" s="89" t="s">
        <v>157</v>
      </c>
      <c r="H40" s="89" t="s">
        <v>157</v>
      </c>
      <c r="I40" s="89" t="s">
        <v>157</v>
      </c>
      <c r="J40" s="89" t="s">
        <v>157</v>
      </c>
      <c r="K40" s="89" t="s">
        <v>157</v>
      </c>
      <c r="L40" s="89" t="s">
        <v>157</v>
      </c>
      <c r="M40" s="89" t="s">
        <v>157</v>
      </c>
    </row>
    <row r="41" spans="1:13" x14ac:dyDescent="0.3">
      <c r="A41" s="89" t="s">
        <v>476</v>
      </c>
      <c r="B41" s="89" t="s">
        <v>477</v>
      </c>
      <c r="C41" s="89" t="s">
        <v>478</v>
      </c>
      <c r="D41" s="89" t="s">
        <v>709</v>
      </c>
      <c r="E41" s="89" t="s">
        <v>79</v>
      </c>
      <c r="F41" s="89" t="s">
        <v>157</v>
      </c>
      <c r="G41" s="89" t="s">
        <v>157</v>
      </c>
      <c r="H41" s="89" t="s">
        <v>157</v>
      </c>
      <c r="I41" s="89" t="s">
        <v>157</v>
      </c>
      <c r="J41" s="89" t="s">
        <v>157</v>
      </c>
      <c r="K41" s="89" t="s">
        <v>157</v>
      </c>
      <c r="L41" s="89" t="s">
        <v>157</v>
      </c>
      <c r="M41" s="89" t="s">
        <v>157</v>
      </c>
    </row>
    <row r="42" spans="1:13" x14ac:dyDescent="0.3">
      <c r="A42" s="89" t="s">
        <v>479</v>
      </c>
      <c r="B42" s="89" t="s">
        <v>480</v>
      </c>
      <c r="C42" s="89" t="s">
        <v>481</v>
      </c>
      <c r="D42" s="89" t="s">
        <v>85</v>
      </c>
      <c r="E42" s="89" t="s">
        <v>157</v>
      </c>
      <c r="F42" s="89" t="s">
        <v>157</v>
      </c>
      <c r="G42" s="89" t="s">
        <v>157</v>
      </c>
      <c r="H42" s="89" t="s">
        <v>157</v>
      </c>
      <c r="I42" s="89" t="s">
        <v>157</v>
      </c>
      <c r="J42" s="89" t="s">
        <v>157</v>
      </c>
      <c r="K42" s="89" t="s">
        <v>157</v>
      </c>
      <c r="L42" s="89" t="s">
        <v>157</v>
      </c>
      <c r="M42" s="89" t="s">
        <v>157</v>
      </c>
    </row>
    <row r="43" spans="1:13" x14ac:dyDescent="0.3">
      <c r="A43" s="89" t="s">
        <v>8</v>
      </c>
      <c r="B43" s="89" t="s">
        <v>127</v>
      </c>
      <c r="C43" s="89" t="s">
        <v>21</v>
      </c>
      <c r="D43" s="89" t="s">
        <v>710</v>
      </c>
      <c r="E43" s="89" t="s">
        <v>77</v>
      </c>
      <c r="F43" s="89" t="s">
        <v>157</v>
      </c>
      <c r="G43" s="89" t="s">
        <v>157</v>
      </c>
      <c r="H43" s="89" t="s">
        <v>157</v>
      </c>
      <c r="I43" s="89" t="s">
        <v>157</v>
      </c>
      <c r="J43" s="89" t="s">
        <v>157</v>
      </c>
      <c r="K43" s="89" t="s">
        <v>157</v>
      </c>
      <c r="L43" s="89" t="s">
        <v>157</v>
      </c>
      <c r="M43" s="89" t="s">
        <v>157</v>
      </c>
    </row>
    <row r="44" spans="1:13" x14ac:dyDescent="0.3">
      <c r="A44" s="89" t="s">
        <v>297</v>
      </c>
      <c r="B44" s="89" t="s">
        <v>128</v>
      </c>
      <c r="C44" s="89" t="s">
        <v>298</v>
      </c>
      <c r="D44" s="89" t="s">
        <v>519</v>
      </c>
      <c r="E44" s="89" t="s">
        <v>35</v>
      </c>
      <c r="F44" s="89" t="s">
        <v>157</v>
      </c>
      <c r="G44" s="89" t="s">
        <v>157</v>
      </c>
      <c r="H44" s="89" t="s">
        <v>157</v>
      </c>
      <c r="I44" s="89" t="s">
        <v>157</v>
      </c>
      <c r="J44" s="89" t="s">
        <v>157</v>
      </c>
      <c r="K44" s="89" t="s">
        <v>157</v>
      </c>
      <c r="L44" s="89" t="s">
        <v>157</v>
      </c>
      <c r="M44" s="89" t="s">
        <v>157</v>
      </c>
    </row>
    <row r="45" spans="1:13" x14ac:dyDescent="0.3">
      <c r="A45" s="89" t="s">
        <v>361</v>
      </c>
      <c r="B45" s="89" t="s">
        <v>362</v>
      </c>
      <c r="C45" s="89" t="s">
        <v>17</v>
      </c>
      <c r="D45" s="89" t="s">
        <v>711</v>
      </c>
      <c r="E45" s="89" t="s">
        <v>483</v>
      </c>
      <c r="F45" s="89" t="s">
        <v>157</v>
      </c>
      <c r="G45" s="89" t="s">
        <v>157</v>
      </c>
      <c r="H45" s="89" t="s">
        <v>157</v>
      </c>
      <c r="I45" s="89" t="s">
        <v>157</v>
      </c>
      <c r="J45" s="89" t="s">
        <v>157</v>
      </c>
      <c r="K45" s="89" t="s">
        <v>157</v>
      </c>
      <c r="L45" s="89" t="s">
        <v>157</v>
      </c>
      <c r="M45" s="89" t="s">
        <v>157</v>
      </c>
    </row>
    <row r="46" spans="1:13" x14ac:dyDescent="0.3">
      <c r="A46" s="89" t="s">
        <v>484</v>
      </c>
      <c r="B46" s="89" t="s">
        <v>485</v>
      </c>
      <c r="C46" s="89" t="s">
        <v>17</v>
      </c>
      <c r="D46" s="89" t="s">
        <v>42</v>
      </c>
      <c r="E46" s="89" t="s">
        <v>382</v>
      </c>
      <c r="F46" s="89" t="s">
        <v>157</v>
      </c>
      <c r="G46" s="89" t="s">
        <v>157</v>
      </c>
      <c r="H46" s="89" t="s">
        <v>157</v>
      </c>
      <c r="I46" s="89" t="s">
        <v>157</v>
      </c>
      <c r="J46" s="89" t="s">
        <v>157</v>
      </c>
      <c r="K46" s="89" t="s">
        <v>157</v>
      </c>
      <c r="L46" s="89" t="s">
        <v>157</v>
      </c>
      <c r="M46" s="89" t="s">
        <v>157</v>
      </c>
    </row>
    <row r="47" spans="1:13" x14ac:dyDescent="0.3">
      <c r="A47" s="89" t="s">
        <v>486</v>
      </c>
      <c r="B47" s="89" t="s">
        <v>487</v>
      </c>
      <c r="C47" s="89" t="s">
        <v>488</v>
      </c>
      <c r="D47" s="89" t="s">
        <v>322</v>
      </c>
      <c r="E47" s="89" t="s">
        <v>98</v>
      </c>
      <c r="F47" s="89" t="s">
        <v>157</v>
      </c>
      <c r="G47" s="89" t="s">
        <v>157</v>
      </c>
      <c r="H47" s="89" t="s">
        <v>157</v>
      </c>
      <c r="I47" s="89" t="s">
        <v>157</v>
      </c>
      <c r="J47" s="89" t="s">
        <v>157</v>
      </c>
      <c r="K47" s="89" t="s">
        <v>157</v>
      </c>
      <c r="L47" s="89" t="s">
        <v>157</v>
      </c>
      <c r="M47" s="89" t="s">
        <v>157</v>
      </c>
    </row>
    <row r="48" spans="1:13" x14ac:dyDescent="0.3">
      <c r="A48" s="89" t="s">
        <v>7</v>
      </c>
      <c r="B48" s="89" t="s">
        <v>129</v>
      </c>
      <c r="C48" s="89" t="s">
        <v>20</v>
      </c>
      <c r="D48" s="89" t="s">
        <v>712</v>
      </c>
      <c r="E48" s="89" t="s">
        <v>49</v>
      </c>
      <c r="F48" s="89" t="s">
        <v>157</v>
      </c>
      <c r="G48" s="89" t="s">
        <v>157</v>
      </c>
      <c r="H48" s="89" t="s">
        <v>157</v>
      </c>
      <c r="I48" s="89" t="s">
        <v>157</v>
      </c>
      <c r="J48" s="89" t="s">
        <v>157</v>
      </c>
      <c r="K48" s="89" t="s">
        <v>157</v>
      </c>
      <c r="L48" s="89" t="s">
        <v>157</v>
      </c>
      <c r="M48" s="89" t="s">
        <v>157</v>
      </c>
    </row>
    <row r="49" spans="1:13" x14ac:dyDescent="0.3">
      <c r="A49" s="89" t="s">
        <v>299</v>
      </c>
      <c r="B49" s="89" t="s">
        <v>155</v>
      </c>
      <c r="C49" s="89" t="s">
        <v>300</v>
      </c>
      <c r="D49" s="89" t="s">
        <v>44</v>
      </c>
      <c r="E49" s="89" t="s">
        <v>99</v>
      </c>
      <c r="F49" s="89" t="s">
        <v>157</v>
      </c>
      <c r="G49" s="89" t="s">
        <v>157</v>
      </c>
      <c r="H49" s="89" t="s">
        <v>157</v>
      </c>
      <c r="I49" s="89" t="s">
        <v>157</v>
      </c>
      <c r="J49" s="89" t="s">
        <v>157</v>
      </c>
      <c r="K49" s="89" t="s">
        <v>157</v>
      </c>
      <c r="L49" s="89" t="s">
        <v>157</v>
      </c>
      <c r="M49" s="89" t="s">
        <v>157</v>
      </c>
    </row>
    <row r="50" spans="1:13" x14ac:dyDescent="0.3">
      <c r="A50" s="89" t="s">
        <v>311</v>
      </c>
      <c r="B50" s="89" t="s">
        <v>132</v>
      </c>
      <c r="C50" s="89" t="s">
        <v>312</v>
      </c>
      <c r="D50" s="89" t="s">
        <v>46</v>
      </c>
      <c r="E50" s="89" t="s">
        <v>31</v>
      </c>
      <c r="F50" s="89" t="s">
        <v>157</v>
      </c>
      <c r="G50" s="89" t="s">
        <v>157</v>
      </c>
      <c r="H50" s="89" t="s">
        <v>157</v>
      </c>
      <c r="I50" s="89" t="s">
        <v>157</v>
      </c>
      <c r="J50" s="89" t="s">
        <v>157</v>
      </c>
      <c r="K50" s="89" t="s">
        <v>157</v>
      </c>
      <c r="L50" s="89" t="s">
        <v>157</v>
      </c>
      <c r="M50" s="89" t="s">
        <v>157</v>
      </c>
    </row>
    <row r="51" spans="1:13" x14ac:dyDescent="0.3">
      <c r="A51" s="89" t="s">
        <v>313</v>
      </c>
      <c r="B51" s="89" t="s">
        <v>133</v>
      </c>
      <c r="C51" s="89" t="s">
        <v>314</v>
      </c>
      <c r="D51" s="89" t="s">
        <v>713</v>
      </c>
      <c r="E51" s="89" t="s">
        <v>51</v>
      </c>
      <c r="F51" s="89" t="s">
        <v>157</v>
      </c>
      <c r="G51" s="89" t="s">
        <v>157</v>
      </c>
      <c r="H51" s="89" t="s">
        <v>157</v>
      </c>
      <c r="I51" s="89" t="s">
        <v>157</v>
      </c>
      <c r="J51" s="89" t="s">
        <v>157</v>
      </c>
      <c r="K51" s="89" t="s">
        <v>157</v>
      </c>
      <c r="L51" s="89" t="s">
        <v>157</v>
      </c>
      <c r="M51" s="89" t="s">
        <v>157</v>
      </c>
    </row>
    <row r="52" spans="1:13" x14ac:dyDescent="0.3">
      <c r="A52" s="89" t="s">
        <v>489</v>
      </c>
      <c r="B52" s="89" t="s">
        <v>490</v>
      </c>
      <c r="C52" s="89" t="s">
        <v>491</v>
      </c>
      <c r="D52" s="89" t="s">
        <v>48</v>
      </c>
      <c r="E52" s="89" t="s">
        <v>37</v>
      </c>
      <c r="F52" s="89" t="s">
        <v>157</v>
      </c>
      <c r="G52" s="89" t="s">
        <v>157</v>
      </c>
      <c r="H52" s="89" t="s">
        <v>157</v>
      </c>
      <c r="I52" s="89" t="s">
        <v>157</v>
      </c>
      <c r="J52" s="89" t="s">
        <v>157</v>
      </c>
      <c r="K52" s="89" t="s">
        <v>157</v>
      </c>
      <c r="L52" s="89" t="s">
        <v>157</v>
      </c>
      <c r="M52" s="89" t="s">
        <v>157</v>
      </c>
    </row>
    <row r="53" spans="1:13" x14ac:dyDescent="0.3">
      <c r="A53" s="89" t="s">
        <v>492</v>
      </c>
      <c r="B53" s="89" t="s">
        <v>493</v>
      </c>
      <c r="C53" s="89" t="s">
        <v>494</v>
      </c>
      <c r="D53" s="89" t="s">
        <v>714</v>
      </c>
      <c r="E53" s="89" t="s">
        <v>53</v>
      </c>
      <c r="F53" s="89" t="s">
        <v>157</v>
      </c>
      <c r="G53" s="89" t="s">
        <v>157</v>
      </c>
      <c r="H53" s="89" t="s">
        <v>157</v>
      </c>
      <c r="I53" s="89" t="s">
        <v>157</v>
      </c>
      <c r="J53" s="89" t="s">
        <v>157</v>
      </c>
      <c r="K53" s="89" t="s">
        <v>157</v>
      </c>
      <c r="L53" s="89" t="s">
        <v>157</v>
      </c>
      <c r="M53" s="89" t="s">
        <v>157</v>
      </c>
    </row>
    <row r="54" spans="1:13" x14ac:dyDescent="0.3">
      <c r="A54" s="89" t="s">
        <v>495</v>
      </c>
      <c r="B54" s="89" t="s">
        <v>496</v>
      </c>
      <c r="C54" s="89" t="s">
        <v>497</v>
      </c>
      <c r="D54" s="89" t="s">
        <v>65</v>
      </c>
      <c r="E54" s="89" t="s">
        <v>80</v>
      </c>
      <c r="F54" s="89" t="s">
        <v>157</v>
      </c>
      <c r="G54" s="89" t="s">
        <v>157</v>
      </c>
      <c r="H54" s="89" t="s">
        <v>157</v>
      </c>
      <c r="I54" s="89" t="s">
        <v>157</v>
      </c>
      <c r="J54" s="89" t="s">
        <v>157</v>
      </c>
      <c r="K54" s="89" t="s">
        <v>157</v>
      </c>
      <c r="L54" s="89" t="s">
        <v>157</v>
      </c>
      <c r="M54" s="89" t="s">
        <v>157</v>
      </c>
    </row>
    <row r="55" spans="1:13" x14ac:dyDescent="0.3">
      <c r="A55" s="89" t="s">
        <v>500</v>
      </c>
      <c r="B55" s="89" t="s">
        <v>501</v>
      </c>
      <c r="C55" s="89" t="s">
        <v>502</v>
      </c>
      <c r="D55" s="89" t="s">
        <v>151</v>
      </c>
      <c r="E55" s="89" t="s">
        <v>82</v>
      </c>
      <c r="F55" s="89" t="s">
        <v>157</v>
      </c>
      <c r="G55" s="89" t="s">
        <v>157</v>
      </c>
      <c r="H55" s="89" t="s">
        <v>157</v>
      </c>
      <c r="I55" s="89" t="s">
        <v>157</v>
      </c>
      <c r="J55" s="89" t="s">
        <v>157</v>
      </c>
      <c r="K55" s="89" t="s">
        <v>157</v>
      </c>
      <c r="L55" s="89" t="s">
        <v>157</v>
      </c>
      <c r="M55" s="89" t="s">
        <v>157</v>
      </c>
    </row>
    <row r="56" spans="1:13" x14ac:dyDescent="0.3">
      <c r="A56" s="89" t="s">
        <v>503</v>
      </c>
      <c r="B56" s="89" t="s">
        <v>309</v>
      </c>
      <c r="C56" s="89" t="s">
        <v>504</v>
      </c>
      <c r="D56" s="89" t="s">
        <v>511</v>
      </c>
      <c r="E56" s="89" t="s">
        <v>499</v>
      </c>
      <c r="F56" s="89" t="s">
        <v>157</v>
      </c>
      <c r="G56" s="89" t="s">
        <v>157</v>
      </c>
      <c r="H56" s="89" t="s">
        <v>157</v>
      </c>
      <c r="I56" s="89" t="s">
        <v>157</v>
      </c>
      <c r="J56" s="89" t="s">
        <v>157</v>
      </c>
      <c r="K56" s="89" t="s">
        <v>157</v>
      </c>
      <c r="L56" s="89" t="s">
        <v>157</v>
      </c>
      <c r="M56" s="89" t="s">
        <v>157</v>
      </c>
    </row>
    <row r="57" spans="1:13" x14ac:dyDescent="0.3">
      <c r="A57" s="89" t="s">
        <v>505</v>
      </c>
      <c r="B57" s="89" t="s">
        <v>506</v>
      </c>
      <c r="C57" s="89" t="s">
        <v>507</v>
      </c>
      <c r="D57" s="89" t="s">
        <v>103</v>
      </c>
      <c r="E57" s="89" t="s">
        <v>29</v>
      </c>
      <c r="F57" s="89" t="s">
        <v>157</v>
      </c>
      <c r="G57" s="89" t="s">
        <v>157</v>
      </c>
      <c r="H57" s="89" t="s">
        <v>157</v>
      </c>
      <c r="I57" s="89" t="s">
        <v>157</v>
      </c>
      <c r="J57" s="89" t="s">
        <v>157</v>
      </c>
      <c r="K57" s="89" t="s">
        <v>157</v>
      </c>
      <c r="L57" s="89" t="s">
        <v>157</v>
      </c>
      <c r="M57" s="89" t="s">
        <v>157</v>
      </c>
    </row>
    <row r="58" spans="1:13" x14ac:dyDescent="0.3">
      <c r="A58" s="89" t="s">
        <v>308</v>
      </c>
      <c r="B58" s="89" t="s">
        <v>309</v>
      </c>
      <c r="C58" s="89" t="s">
        <v>310</v>
      </c>
      <c r="D58" s="89" t="s">
        <v>152</v>
      </c>
      <c r="E58" s="89" t="s">
        <v>55</v>
      </c>
      <c r="F58" s="89" t="s">
        <v>157</v>
      </c>
      <c r="G58" s="89" t="s">
        <v>157</v>
      </c>
      <c r="H58" s="89" t="s">
        <v>157</v>
      </c>
      <c r="I58" s="89" t="s">
        <v>157</v>
      </c>
      <c r="J58" s="89" t="s">
        <v>157</v>
      </c>
      <c r="K58" s="89" t="s">
        <v>157</v>
      </c>
      <c r="L58" s="89" t="s">
        <v>157</v>
      </c>
      <c r="M58" s="89" t="s">
        <v>157</v>
      </c>
    </row>
    <row r="59" spans="1:13" x14ac:dyDescent="0.3">
      <c r="A59" s="89" t="s">
        <v>508</v>
      </c>
      <c r="B59" s="89" t="s">
        <v>506</v>
      </c>
      <c r="C59" s="89" t="s">
        <v>509</v>
      </c>
      <c r="D59" s="89" t="s">
        <v>715</v>
      </c>
      <c r="E59" s="89" t="s">
        <v>28</v>
      </c>
      <c r="F59" s="89" t="s">
        <v>157</v>
      </c>
      <c r="G59" s="89" t="s">
        <v>157</v>
      </c>
      <c r="H59" s="89" t="s">
        <v>157</v>
      </c>
      <c r="I59" s="89" t="s">
        <v>157</v>
      </c>
      <c r="J59" s="89" t="s">
        <v>157</v>
      </c>
      <c r="K59" s="89" t="s">
        <v>157</v>
      </c>
      <c r="L59" s="89" t="s">
        <v>157</v>
      </c>
      <c r="M59" s="89" t="s">
        <v>157</v>
      </c>
    </row>
    <row r="60" spans="1:13" x14ac:dyDescent="0.3">
      <c r="A60" s="89" t="s">
        <v>315</v>
      </c>
      <c r="B60" s="89" t="s">
        <v>316</v>
      </c>
      <c r="C60" s="89" t="s">
        <v>317</v>
      </c>
      <c r="D60" s="89" t="s">
        <v>716</v>
      </c>
      <c r="E60" s="89" t="s">
        <v>30</v>
      </c>
      <c r="F60" s="89" t="s">
        <v>157</v>
      </c>
      <c r="G60" s="89" t="s">
        <v>157</v>
      </c>
      <c r="H60" s="89" t="s">
        <v>157</v>
      </c>
      <c r="I60" s="89" t="s">
        <v>157</v>
      </c>
      <c r="J60" s="89" t="s">
        <v>157</v>
      </c>
      <c r="K60" s="89" t="s">
        <v>157</v>
      </c>
      <c r="L60" s="89" t="s">
        <v>157</v>
      </c>
      <c r="M60" s="89" t="s">
        <v>157</v>
      </c>
    </row>
    <row r="61" spans="1:13" x14ac:dyDescent="0.3">
      <c r="A61" s="89" t="s">
        <v>513</v>
      </c>
      <c r="B61" s="89" t="s">
        <v>514</v>
      </c>
      <c r="C61" s="89" t="s">
        <v>515</v>
      </c>
      <c r="D61" s="89" t="s">
        <v>717</v>
      </c>
      <c r="E61" s="89" t="s">
        <v>157</v>
      </c>
      <c r="F61" s="89" t="s">
        <v>157</v>
      </c>
      <c r="G61" s="89" t="s">
        <v>157</v>
      </c>
      <c r="H61" s="89" t="s">
        <v>157</v>
      </c>
      <c r="I61" s="89" t="s">
        <v>157</v>
      </c>
      <c r="J61" s="89" t="s">
        <v>157</v>
      </c>
      <c r="K61" s="89" t="s">
        <v>157</v>
      </c>
      <c r="L61" s="89" t="s">
        <v>157</v>
      </c>
      <c r="M61" s="89" t="s">
        <v>157</v>
      </c>
    </row>
    <row r="62" spans="1:13" x14ac:dyDescent="0.3">
      <c r="A62" s="89" t="s">
        <v>517</v>
      </c>
      <c r="B62" s="89" t="s">
        <v>360</v>
      </c>
      <c r="C62" s="89" t="s">
        <v>518</v>
      </c>
      <c r="D62" s="89" t="s">
        <v>718</v>
      </c>
      <c r="E62" s="89" t="s">
        <v>512</v>
      </c>
      <c r="F62" s="89" t="s">
        <v>157</v>
      </c>
      <c r="G62" s="89" t="s">
        <v>157</v>
      </c>
      <c r="H62" s="89" t="s">
        <v>157</v>
      </c>
      <c r="I62" s="89" t="s">
        <v>157</v>
      </c>
      <c r="J62" s="89" t="s">
        <v>157</v>
      </c>
      <c r="K62" s="89" t="s">
        <v>157</v>
      </c>
      <c r="L62" s="89" t="s">
        <v>157</v>
      </c>
      <c r="M62" s="89" t="s">
        <v>157</v>
      </c>
    </row>
    <row r="63" spans="1:13" x14ac:dyDescent="0.3">
      <c r="A63" s="89" t="s">
        <v>332</v>
      </c>
      <c r="B63" s="89" t="s">
        <v>333</v>
      </c>
      <c r="C63" s="89" t="s">
        <v>334</v>
      </c>
      <c r="D63" s="89" t="s">
        <v>153</v>
      </c>
      <c r="E63" s="89" t="s">
        <v>157</v>
      </c>
      <c r="F63" s="89" t="s">
        <v>157</v>
      </c>
      <c r="G63" s="89" t="s">
        <v>157</v>
      </c>
      <c r="H63" s="89" t="s">
        <v>157</v>
      </c>
      <c r="I63" s="89" t="s">
        <v>157</v>
      </c>
      <c r="J63" s="89" t="s">
        <v>157</v>
      </c>
      <c r="K63" s="89" t="s">
        <v>157</v>
      </c>
      <c r="L63" s="89" t="s">
        <v>157</v>
      </c>
      <c r="M63" s="89" t="s">
        <v>157</v>
      </c>
    </row>
    <row r="64" spans="1:13" x14ac:dyDescent="0.3">
      <c r="A64" s="89" t="s">
        <v>520</v>
      </c>
      <c r="B64" s="89" t="s">
        <v>126</v>
      </c>
      <c r="C64" s="89" t="s">
        <v>521</v>
      </c>
      <c r="D64" s="89" t="s">
        <v>102</v>
      </c>
      <c r="E64" s="89" t="s">
        <v>157</v>
      </c>
      <c r="F64" s="89" t="s">
        <v>157</v>
      </c>
      <c r="G64" s="89" t="s">
        <v>157</v>
      </c>
      <c r="H64" s="89" t="s">
        <v>157</v>
      </c>
      <c r="I64" s="89" t="s">
        <v>157</v>
      </c>
      <c r="J64" s="89" t="s">
        <v>157</v>
      </c>
      <c r="K64" s="89" t="s">
        <v>157</v>
      </c>
      <c r="L64" s="89" t="s">
        <v>157</v>
      </c>
      <c r="M64" s="89" t="s">
        <v>157</v>
      </c>
    </row>
    <row r="65" spans="1:13" x14ac:dyDescent="0.3">
      <c r="A65" s="89" t="s">
        <v>522</v>
      </c>
      <c r="B65" s="89" t="s">
        <v>145</v>
      </c>
      <c r="C65" s="89" t="s">
        <v>523</v>
      </c>
      <c r="D65" s="89" t="s">
        <v>78</v>
      </c>
      <c r="E65" s="89" t="s">
        <v>157</v>
      </c>
      <c r="F65" s="89" t="s">
        <v>157</v>
      </c>
      <c r="G65" s="89" t="s">
        <v>157</v>
      </c>
      <c r="H65" s="89" t="s">
        <v>157</v>
      </c>
      <c r="I65" s="89" t="s">
        <v>157</v>
      </c>
      <c r="J65" s="89" t="s">
        <v>157</v>
      </c>
      <c r="K65" s="89" t="s">
        <v>157</v>
      </c>
      <c r="L65" s="89" t="s">
        <v>157</v>
      </c>
      <c r="M65" s="89" t="s">
        <v>157</v>
      </c>
    </row>
    <row r="66" spans="1:13" x14ac:dyDescent="0.3">
      <c r="A66" s="89" t="s">
        <v>258</v>
      </c>
      <c r="B66" s="89" t="s">
        <v>259</v>
      </c>
      <c r="C66" s="89" t="s">
        <v>260</v>
      </c>
      <c r="D66" s="89" t="s">
        <v>719</v>
      </c>
      <c r="E66" s="89" t="s">
        <v>157</v>
      </c>
      <c r="F66" s="89" t="s">
        <v>157</v>
      </c>
      <c r="G66" s="89" t="s">
        <v>157</v>
      </c>
      <c r="H66" s="89" t="s">
        <v>157</v>
      </c>
      <c r="I66" s="89" t="s">
        <v>157</v>
      </c>
      <c r="J66" s="89" t="s">
        <v>157</v>
      </c>
      <c r="K66" s="89" t="s">
        <v>157</v>
      </c>
      <c r="L66" s="89" t="s">
        <v>157</v>
      </c>
      <c r="M66" s="89" t="s">
        <v>157</v>
      </c>
    </row>
    <row r="67" spans="1:13" x14ac:dyDescent="0.3">
      <c r="A67" s="89" t="s">
        <v>261</v>
      </c>
      <c r="B67" s="89" t="s">
        <v>262</v>
      </c>
      <c r="C67" s="89" t="s">
        <v>263</v>
      </c>
      <c r="D67" s="89" t="s">
        <v>36</v>
      </c>
      <c r="E67" s="89" t="s">
        <v>157</v>
      </c>
      <c r="F67" s="89" t="s">
        <v>157</v>
      </c>
      <c r="G67" s="89" t="s">
        <v>157</v>
      </c>
      <c r="H67" s="89" t="s">
        <v>157</v>
      </c>
      <c r="I67" s="89" t="s">
        <v>157</v>
      </c>
      <c r="J67" s="89" t="s">
        <v>157</v>
      </c>
      <c r="K67" s="89" t="s">
        <v>157</v>
      </c>
      <c r="L67" s="89" t="s">
        <v>157</v>
      </c>
      <c r="M67" s="89" t="s">
        <v>157</v>
      </c>
    </row>
    <row r="68" spans="1:13" x14ac:dyDescent="0.3">
      <c r="A68" s="89" t="s">
        <v>273</v>
      </c>
      <c r="B68" s="89" t="s">
        <v>274</v>
      </c>
      <c r="C68" s="89" t="s">
        <v>275</v>
      </c>
      <c r="D68" s="89" t="s">
        <v>482</v>
      </c>
      <c r="E68" s="89" t="s">
        <v>157</v>
      </c>
      <c r="F68" s="89" t="s">
        <v>157</v>
      </c>
      <c r="G68" s="89" t="s">
        <v>157</v>
      </c>
      <c r="H68" s="89" t="s">
        <v>157</v>
      </c>
      <c r="I68" s="89" t="s">
        <v>157</v>
      </c>
      <c r="J68" s="89" t="s">
        <v>157</v>
      </c>
      <c r="K68" s="89" t="s">
        <v>157</v>
      </c>
      <c r="L68" s="89" t="s">
        <v>157</v>
      </c>
      <c r="M68" s="89" t="s">
        <v>157</v>
      </c>
    </row>
    <row r="69" spans="1:13" x14ac:dyDescent="0.3">
      <c r="A69" s="89" t="s">
        <v>276</v>
      </c>
      <c r="B69" s="89" t="s">
        <v>277</v>
      </c>
      <c r="C69" s="89" t="s">
        <v>278</v>
      </c>
      <c r="D69" s="89" t="s">
        <v>720</v>
      </c>
      <c r="E69" s="89" t="s">
        <v>157</v>
      </c>
      <c r="F69" s="89" t="s">
        <v>157</v>
      </c>
      <c r="G69" s="89" t="s">
        <v>157</v>
      </c>
      <c r="H69" s="89" t="s">
        <v>157</v>
      </c>
      <c r="I69" s="89" t="s">
        <v>157</v>
      </c>
      <c r="J69" s="89" t="s">
        <v>157</v>
      </c>
      <c r="K69" s="89" t="s">
        <v>157</v>
      </c>
      <c r="L69" s="89" t="s">
        <v>157</v>
      </c>
      <c r="M69" s="89" t="s">
        <v>157</v>
      </c>
    </row>
    <row r="70" spans="1:13" x14ac:dyDescent="0.3">
      <c r="A70" s="89" t="s">
        <v>524</v>
      </c>
      <c r="B70" s="89" t="s">
        <v>525</v>
      </c>
      <c r="C70" s="89" t="s">
        <v>526</v>
      </c>
      <c r="D70" s="89" t="s">
        <v>381</v>
      </c>
      <c r="E70" s="89" t="s">
        <v>157</v>
      </c>
      <c r="F70" s="89" t="s">
        <v>157</v>
      </c>
      <c r="G70" s="89" t="s">
        <v>157</v>
      </c>
      <c r="H70" s="89" t="s">
        <v>157</v>
      </c>
      <c r="I70" s="89" t="s">
        <v>157</v>
      </c>
      <c r="J70" s="89" t="s">
        <v>157</v>
      </c>
      <c r="K70" s="89" t="s">
        <v>157</v>
      </c>
      <c r="L70" s="89" t="s">
        <v>157</v>
      </c>
      <c r="M70" s="89" t="s">
        <v>157</v>
      </c>
    </row>
    <row r="71" spans="1:13" x14ac:dyDescent="0.3">
      <c r="A71" s="89" t="s">
        <v>527</v>
      </c>
      <c r="B71" s="89" t="s">
        <v>528</v>
      </c>
      <c r="C71" s="89" t="s">
        <v>529</v>
      </c>
      <c r="D71" s="89" t="s">
        <v>516</v>
      </c>
      <c r="E71" s="89" t="s">
        <v>157</v>
      </c>
      <c r="F71" s="89" t="s">
        <v>157</v>
      </c>
      <c r="G71" s="89" t="s">
        <v>157</v>
      </c>
      <c r="H71" s="89" t="s">
        <v>157</v>
      </c>
      <c r="I71" s="89" t="s">
        <v>157</v>
      </c>
      <c r="J71" s="89" t="s">
        <v>157</v>
      </c>
      <c r="K71" s="89" t="s">
        <v>157</v>
      </c>
      <c r="L71" s="89" t="s">
        <v>157</v>
      </c>
      <c r="M71" s="89" t="s">
        <v>157</v>
      </c>
    </row>
    <row r="72" spans="1:13" x14ac:dyDescent="0.3">
      <c r="A72" s="89" t="s">
        <v>530</v>
      </c>
      <c r="B72" s="89" t="s">
        <v>531</v>
      </c>
      <c r="C72" s="89" t="s">
        <v>532</v>
      </c>
      <c r="D72" s="89" t="s">
        <v>154</v>
      </c>
      <c r="E72" s="89" t="s">
        <v>157</v>
      </c>
      <c r="F72" s="89" t="s">
        <v>157</v>
      </c>
      <c r="G72" s="89" t="s">
        <v>157</v>
      </c>
      <c r="H72" s="89" t="s">
        <v>157</v>
      </c>
      <c r="I72" s="89" t="s">
        <v>157</v>
      </c>
      <c r="J72" s="89" t="s">
        <v>157</v>
      </c>
      <c r="K72" s="89" t="s">
        <v>157</v>
      </c>
      <c r="L72" s="89" t="s">
        <v>157</v>
      </c>
      <c r="M72" s="89" t="s">
        <v>157</v>
      </c>
    </row>
    <row r="73" spans="1:13" x14ac:dyDescent="0.3">
      <c r="A73" s="89" t="s">
        <v>533</v>
      </c>
      <c r="B73" s="89" t="s">
        <v>534</v>
      </c>
      <c r="C73" s="89" t="s">
        <v>279</v>
      </c>
      <c r="D73" s="89" t="s">
        <v>50</v>
      </c>
      <c r="E73" s="89" t="s">
        <v>157</v>
      </c>
      <c r="F73" s="89" t="s">
        <v>157</v>
      </c>
      <c r="G73" s="89" t="s">
        <v>157</v>
      </c>
      <c r="H73" s="89" t="s">
        <v>157</v>
      </c>
      <c r="I73" s="89" t="s">
        <v>157</v>
      </c>
      <c r="J73" s="89" t="s">
        <v>157</v>
      </c>
      <c r="K73" s="89" t="s">
        <v>157</v>
      </c>
      <c r="L73" s="89" t="s">
        <v>157</v>
      </c>
      <c r="M73" s="89" t="s">
        <v>157</v>
      </c>
    </row>
    <row r="74" spans="1:13" x14ac:dyDescent="0.3">
      <c r="A74" s="89" t="s">
        <v>345</v>
      </c>
      <c r="B74" s="89" t="s">
        <v>346</v>
      </c>
      <c r="C74" s="89" t="s">
        <v>279</v>
      </c>
      <c r="D74" s="89" t="s">
        <v>100</v>
      </c>
      <c r="E74" s="89" t="s">
        <v>157</v>
      </c>
      <c r="F74" s="89" t="s">
        <v>157</v>
      </c>
      <c r="G74" s="89" t="s">
        <v>157</v>
      </c>
      <c r="H74" s="89" t="s">
        <v>157</v>
      </c>
      <c r="I74" s="89" t="s">
        <v>157</v>
      </c>
      <c r="J74" s="89" t="s">
        <v>157</v>
      </c>
      <c r="K74" s="89" t="s">
        <v>157</v>
      </c>
      <c r="L74" s="89" t="s">
        <v>157</v>
      </c>
      <c r="M74" s="89" t="s">
        <v>157</v>
      </c>
    </row>
    <row r="75" spans="1:13" x14ac:dyDescent="0.3">
      <c r="A75" s="89" t="s">
        <v>535</v>
      </c>
      <c r="B75" s="89" t="s">
        <v>536</v>
      </c>
      <c r="C75" s="89" t="s">
        <v>280</v>
      </c>
      <c r="D75" s="89" t="s">
        <v>32</v>
      </c>
      <c r="E75" s="89" t="s">
        <v>157</v>
      </c>
      <c r="F75" s="89" t="s">
        <v>157</v>
      </c>
      <c r="G75" s="89" t="s">
        <v>157</v>
      </c>
      <c r="H75" s="89" t="s">
        <v>157</v>
      </c>
      <c r="I75" s="89" t="s">
        <v>157</v>
      </c>
      <c r="J75" s="89" t="s">
        <v>157</v>
      </c>
      <c r="K75" s="89" t="s">
        <v>157</v>
      </c>
      <c r="L75" s="89" t="s">
        <v>157</v>
      </c>
      <c r="M75" s="89" t="s">
        <v>157</v>
      </c>
    </row>
    <row r="76" spans="1:13" x14ac:dyDescent="0.3">
      <c r="A76" s="89" t="s">
        <v>347</v>
      </c>
      <c r="B76" s="89" t="s">
        <v>348</v>
      </c>
      <c r="C76" s="89" t="s">
        <v>280</v>
      </c>
      <c r="D76" s="89" t="s">
        <v>52</v>
      </c>
      <c r="E76" s="89" t="s">
        <v>157</v>
      </c>
      <c r="F76" s="89" t="s">
        <v>157</v>
      </c>
      <c r="G76" s="89" t="s">
        <v>157</v>
      </c>
      <c r="H76" s="89" t="s">
        <v>157</v>
      </c>
      <c r="I76" s="89" t="s">
        <v>157</v>
      </c>
      <c r="J76" s="89" t="s">
        <v>157</v>
      </c>
      <c r="K76" s="89" t="s">
        <v>157</v>
      </c>
      <c r="L76" s="89" t="s">
        <v>157</v>
      </c>
      <c r="M76" s="89" t="s">
        <v>157</v>
      </c>
    </row>
    <row r="77" spans="1:13" x14ac:dyDescent="0.3">
      <c r="A77" s="89" t="s">
        <v>5</v>
      </c>
      <c r="B77" s="89" t="s">
        <v>125</v>
      </c>
      <c r="C77" s="89" t="s">
        <v>16</v>
      </c>
      <c r="D77" s="89" t="s">
        <v>38</v>
      </c>
      <c r="E77" s="89" t="s">
        <v>157</v>
      </c>
      <c r="F77" s="89" t="s">
        <v>157</v>
      </c>
      <c r="G77" s="89" t="s">
        <v>157</v>
      </c>
      <c r="H77" s="89" t="s">
        <v>157</v>
      </c>
      <c r="I77" s="89" t="s">
        <v>157</v>
      </c>
      <c r="J77" s="89" t="s">
        <v>157</v>
      </c>
      <c r="K77" s="89" t="s">
        <v>157</v>
      </c>
      <c r="L77" s="89" t="s">
        <v>157</v>
      </c>
      <c r="M77" s="89" t="s">
        <v>157</v>
      </c>
    </row>
    <row r="78" spans="1:13" x14ac:dyDescent="0.3">
      <c r="A78" s="89" t="s">
        <v>302</v>
      </c>
      <c r="B78" s="89" t="s">
        <v>303</v>
      </c>
      <c r="C78" s="89" t="s">
        <v>304</v>
      </c>
      <c r="D78" s="89" t="s">
        <v>54</v>
      </c>
      <c r="E78" s="89" t="s">
        <v>157</v>
      </c>
      <c r="F78" s="89" t="s">
        <v>157</v>
      </c>
      <c r="G78" s="89" t="s">
        <v>157</v>
      </c>
      <c r="H78" s="89" t="s">
        <v>157</v>
      </c>
      <c r="I78" s="89" t="s">
        <v>157</v>
      </c>
      <c r="J78" s="89" t="s">
        <v>157</v>
      </c>
      <c r="K78" s="89" t="s">
        <v>157</v>
      </c>
      <c r="L78" s="89" t="s">
        <v>157</v>
      </c>
      <c r="M78" s="89" t="s">
        <v>157</v>
      </c>
    </row>
    <row r="79" spans="1:13" x14ac:dyDescent="0.3">
      <c r="A79" s="89" t="s">
        <v>537</v>
      </c>
      <c r="B79" s="89" t="s">
        <v>305</v>
      </c>
      <c r="C79" s="89" t="s">
        <v>538</v>
      </c>
      <c r="D79" s="89" t="s">
        <v>81</v>
      </c>
      <c r="E79" s="89" t="s">
        <v>157</v>
      </c>
      <c r="F79" s="89" t="s">
        <v>157</v>
      </c>
      <c r="G79" s="89" t="s">
        <v>157</v>
      </c>
      <c r="H79" s="89" t="s">
        <v>157</v>
      </c>
      <c r="I79" s="89" t="s">
        <v>157</v>
      </c>
      <c r="J79" s="89" t="s">
        <v>157</v>
      </c>
      <c r="K79" s="89" t="s">
        <v>157</v>
      </c>
      <c r="L79" s="89" t="s">
        <v>157</v>
      </c>
      <c r="M79" s="89" t="s">
        <v>157</v>
      </c>
    </row>
    <row r="80" spans="1:13" x14ac:dyDescent="0.3">
      <c r="A80" s="89" t="s">
        <v>264</v>
      </c>
      <c r="B80" s="89" t="s">
        <v>265</v>
      </c>
      <c r="C80" s="89" t="s">
        <v>266</v>
      </c>
      <c r="D80" s="89" t="s">
        <v>83</v>
      </c>
      <c r="E80" s="89" t="s">
        <v>157</v>
      </c>
      <c r="F80" s="89" t="s">
        <v>157</v>
      </c>
      <c r="G80" s="89" t="s">
        <v>157</v>
      </c>
      <c r="H80" s="89" t="s">
        <v>157</v>
      </c>
      <c r="I80" s="89" t="s">
        <v>157</v>
      </c>
      <c r="J80" s="89" t="s">
        <v>157</v>
      </c>
      <c r="K80" s="89" t="s">
        <v>157</v>
      </c>
      <c r="L80" s="89" t="s">
        <v>157</v>
      </c>
      <c r="M80" s="89" t="s">
        <v>157</v>
      </c>
    </row>
    <row r="81" spans="1:13" x14ac:dyDescent="0.3">
      <c r="A81" s="89" t="s">
        <v>539</v>
      </c>
      <c r="B81" s="89" t="s">
        <v>301</v>
      </c>
      <c r="C81" s="89" t="s">
        <v>540</v>
      </c>
      <c r="D81" s="89" t="s">
        <v>498</v>
      </c>
      <c r="E81" s="89" t="s">
        <v>157</v>
      </c>
      <c r="F81" s="89" t="s">
        <v>157</v>
      </c>
      <c r="G81" s="89" t="s">
        <v>157</v>
      </c>
      <c r="H81" s="89" t="s">
        <v>157</v>
      </c>
      <c r="I81" s="89" t="s">
        <v>157</v>
      </c>
      <c r="J81" s="89" t="s">
        <v>157</v>
      </c>
      <c r="K81" s="89" t="s">
        <v>157</v>
      </c>
      <c r="L81" s="89" t="s">
        <v>157</v>
      </c>
      <c r="M81" s="89" t="s">
        <v>157</v>
      </c>
    </row>
    <row r="82" spans="1:13" x14ac:dyDescent="0.3">
      <c r="A82" s="89" t="s">
        <v>541</v>
      </c>
      <c r="B82" s="89" t="s">
        <v>542</v>
      </c>
      <c r="C82" s="89" t="s">
        <v>543</v>
      </c>
      <c r="D82" s="89" t="s">
        <v>721</v>
      </c>
      <c r="E82" s="89" t="s">
        <v>157</v>
      </c>
      <c r="F82" s="89" t="s">
        <v>157</v>
      </c>
      <c r="G82" s="89" t="s">
        <v>157</v>
      </c>
      <c r="H82" s="89" t="s">
        <v>157</v>
      </c>
      <c r="I82" s="89" t="s">
        <v>157</v>
      </c>
      <c r="J82" s="89" t="s">
        <v>157</v>
      </c>
      <c r="K82" s="89" t="s">
        <v>157</v>
      </c>
      <c r="L82" s="89" t="s">
        <v>157</v>
      </c>
      <c r="M82" s="89" t="s">
        <v>157</v>
      </c>
    </row>
    <row r="83" spans="1:13" x14ac:dyDescent="0.3">
      <c r="A83" s="89" t="s">
        <v>22</v>
      </c>
      <c r="B83" s="89" t="s">
        <v>0</v>
      </c>
      <c r="C83" s="89" t="s">
        <v>9</v>
      </c>
      <c r="D83" s="89" t="s">
        <v>722</v>
      </c>
      <c r="E83" s="89" t="s">
        <v>157</v>
      </c>
      <c r="F83" s="89" t="s">
        <v>157</v>
      </c>
      <c r="G83" s="89" t="s">
        <v>157</v>
      </c>
      <c r="H83" s="89" t="s">
        <v>157</v>
      </c>
      <c r="I83" s="89" t="s">
        <v>157</v>
      </c>
      <c r="J83" s="89" t="s">
        <v>157</v>
      </c>
      <c r="K83" s="89" t="s">
        <v>157</v>
      </c>
      <c r="L83" s="89" t="s">
        <v>157</v>
      </c>
      <c r="M83" s="89" t="s">
        <v>157</v>
      </c>
    </row>
    <row r="84" spans="1:13" x14ac:dyDescent="0.3">
      <c r="A84" s="89" t="s">
        <v>2</v>
      </c>
      <c r="B84" s="89" t="s">
        <v>143</v>
      </c>
      <c r="C84" s="89" t="s">
        <v>11</v>
      </c>
      <c r="D84" s="89" t="s">
        <v>156</v>
      </c>
      <c r="E84" s="89" t="s">
        <v>157</v>
      </c>
      <c r="F84" s="89" t="s">
        <v>157</v>
      </c>
      <c r="G84" s="89" t="s">
        <v>157</v>
      </c>
      <c r="H84" s="89" t="s">
        <v>157</v>
      </c>
      <c r="I84" s="89" t="s">
        <v>157</v>
      </c>
      <c r="J84" s="89" t="s">
        <v>157</v>
      </c>
      <c r="K84" s="89" t="s">
        <v>157</v>
      </c>
      <c r="L84" s="89" t="s">
        <v>157</v>
      </c>
      <c r="M84" s="89" t="s">
        <v>157</v>
      </c>
    </row>
    <row r="85" spans="1:13" x14ac:dyDescent="0.3">
      <c r="A85" s="89" t="s">
        <v>330</v>
      </c>
      <c r="B85" s="89" t="s">
        <v>144</v>
      </c>
      <c r="C85" s="89" t="s">
        <v>331</v>
      </c>
      <c r="D85" s="89" t="s">
        <v>104</v>
      </c>
      <c r="E85" s="89" t="s">
        <v>157</v>
      </c>
      <c r="F85" s="89" t="s">
        <v>157</v>
      </c>
      <c r="G85" s="89" t="s">
        <v>157</v>
      </c>
      <c r="H85" s="89" t="s">
        <v>157</v>
      </c>
      <c r="I85" s="89" t="s">
        <v>157</v>
      </c>
      <c r="J85" s="89" t="s">
        <v>157</v>
      </c>
      <c r="K85" s="89" t="s">
        <v>157</v>
      </c>
      <c r="L85" s="89" t="s">
        <v>157</v>
      </c>
      <c r="M85" s="89" t="s">
        <v>157</v>
      </c>
    </row>
    <row r="86" spans="1:13" x14ac:dyDescent="0.3">
      <c r="A86" s="89" t="s">
        <v>320</v>
      </c>
      <c r="B86" s="89" t="s">
        <v>139</v>
      </c>
      <c r="C86" s="89" t="s">
        <v>321</v>
      </c>
      <c r="D86" s="89" t="s">
        <v>723</v>
      </c>
      <c r="E86" s="89" t="s">
        <v>157</v>
      </c>
      <c r="F86" s="89" t="s">
        <v>157</v>
      </c>
      <c r="G86" s="89" t="s">
        <v>157</v>
      </c>
      <c r="H86" s="89" t="s">
        <v>157</v>
      </c>
      <c r="I86" s="89" t="s">
        <v>157</v>
      </c>
      <c r="J86" s="89" t="s">
        <v>157</v>
      </c>
      <c r="K86" s="89" t="s">
        <v>157</v>
      </c>
      <c r="L86" s="89" t="s">
        <v>157</v>
      </c>
      <c r="M86" s="89" t="s">
        <v>157</v>
      </c>
    </row>
    <row r="87" spans="1:13" x14ac:dyDescent="0.3">
      <c r="A87" s="89" t="s">
        <v>544</v>
      </c>
      <c r="B87" s="89" t="s">
        <v>136</v>
      </c>
      <c r="C87" s="89" t="s">
        <v>545</v>
      </c>
      <c r="D87" s="89" t="s">
        <v>724</v>
      </c>
      <c r="E87" s="89" t="s">
        <v>157</v>
      </c>
      <c r="F87" s="89" t="s">
        <v>157</v>
      </c>
      <c r="G87" s="89" t="s">
        <v>157</v>
      </c>
      <c r="H87" s="89" t="s">
        <v>157</v>
      </c>
      <c r="I87" s="89" t="s">
        <v>157</v>
      </c>
      <c r="J87" s="89" t="s">
        <v>157</v>
      </c>
      <c r="K87" s="89" t="s">
        <v>157</v>
      </c>
      <c r="L87" s="89" t="s">
        <v>157</v>
      </c>
      <c r="M87" s="89" t="s">
        <v>157</v>
      </c>
    </row>
    <row r="88" spans="1:13" x14ac:dyDescent="0.3">
      <c r="A88" s="89" t="s">
        <v>546</v>
      </c>
      <c r="B88" s="89" t="s">
        <v>140</v>
      </c>
      <c r="C88" s="89" t="s">
        <v>547</v>
      </c>
      <c r="D88" s="89" t="s">
        <v>725</v>
      </c>
      <c r="E88" s="89" t="s">
        <v>157</v>
      </c>
      <c r="F88" s="89" t="s">
        <v>157</v>
      </c>
      <c r="G88" s="89" t="s">
        <v>157</v>
      </c>
      <c r="H88" s="89" t="s">
        <v>157</v>
      </c>
      <c r="I88" s="89" t="s">
        <v>157</v>
      </c>
      <c r="J88" s="89" t="s">
        <v>157</v>
      </c>
      <c r="K88" s="89" t="s">
        <v>157</v>
      </c>
      <c r="L88" s="89" t="s">
        <v>157</v>
      </c>
      <c r="M88" s="89" t="s">
        <v>157</v>
      </c>
    </row>
    <row r="89" spans="1:13" x14ac:dyDescent="0.3">
      <c r="A89" s="89" t="s">
        <v>726</v>
      </c>
      <c r="B89" s="89" t="s">
        <v>142</v>
      </c>
      <c r="C89" s="89" t="s">
        <v>10</v>
      </c>
      <c r="D89" s="89" t="s">
        <v>727</v>
      </c>
      <c r="E89" s="89" t="s">
        <v>157</v>
      </c>
      <c r="F89" s="89" t="s">
        <v>157</v>
      </c>
      <c r="G89" s="89" t="s">
        <v>157</v>
      </c>
      <c r="H89" s="89" t="s">
        <v>157</v>
      </c>
      <c r="I89" s="89" t="s">
        <v>157</v>
      </c>
      <c r="J89" s="89" t="s">
        <v>157</v>
      </c>
      <c r="K89" s="89" t="s">
        <v>157</v>
      </c>
      <c r="L89" s="89" t="s">
        <v>157</v>
      </c>
      <c r="M89" s="89" t="s">
        <v>157</v>
      </c>
    </row>
    <row r="90" spans="1:13" x14ac:dyDescent="0.3">
      <c r="A90" s="89" t="s">
        <v>548</v>
      </c>
      <c r="B90" s="89" t="s">
        <v>130</v>
      </c>
      <c r="C90" s="89" t="s">
        <v>549</v>
      </c>
      <c r="D90" s="89" t="s">
        <v>157</v>
      </c>
      <c r="E90" s="89" t="s">
        <v>157</v>
      </c>
      <c r="F90" s="89" t="s">
        <v>157</v>
      </c>
      <c r="G90" s="89" t="s">
        <v>157</v>
      </c>
      <c r="H90" s="89" t="s">
        <v>157</v>
      </c>
      <c r="I90" s="89" t="s">
        <v>157</v>
      </c>
      <c r="J90" s="89" t="s">
        <v>157</v>
      </c>
      <c r="K90" s="89" t="s">
        <v>157</v>
      </c>
      <c r="L90" s="89" t="s">
        <v>157</v>
      </c>
      <c r="M90" s="89" t="s">
        <v>157</v>
      </c>
    </row>
    <row r="91" spans="1:13" x14ac:dyDescent="0.3">
      <c r="A91" s="89" t="s">
        <v>550</v>
      </c>
      <c r="B91" s="89" t="s">
        <v>131</v>
      </c>
      <c r="C91" s="89" t="s">
        <v>551</v>
      </c>
      <c r="D91" s="89" t="s">
        <v>157</v>
      </c>
      <c r="E91" s="89" t="s">
        <v>157</v>
      </c>
      <c r="F91" s="89" t="s">
        <v>157</v>
      </c>
      <c r="G91" s="89" t="s">
        <v>157</v>
      </c>
      <c r="H91" s="89" t="s">
        <v>157</v>
      </c>
      <c r="I91" s="89" t="s">
        <v>157</v>
      </c>
      <c r="J91" s="89" t="s">
        <v>157</v>
      </c>
      <c r="K91" s="89" t="s">
        <v>157</v>
      </c>
      <c r="L91" s="89" t="s">
        <v>157</v>
      </c>
      <c r="M91" s="89" t="s">
        <v>157</v>
      </c>
    </row>
    <row r="92" spans="1:13" x14ac:dyDescent="0.3">
      <c r="A92" s="89" t="s">
        <v>552</v>
      </c>
      <c r="B92" s="89" t="s">
        <v>134</v>
      </c>
      <c r="C92" s="89" t="s">
        <v>553</v>
      </c>
      <c r="D92" s="89" t="s">
        <v>157</v>
      </c>
      <c r="E92" s="89" t="s">
        <v>157</v>
      </c>
      <c r="F92" s="89" t="s">
        <v>157</v>
      </c>
      <c r="G92" s="89" t="s">
        <v>157</v>
      </c>
      <c r="H92" s="89" t="s">
        <v>157</v>
      </c>
      <c r="I92" s="89" t="s">
        <v>157</v>
      </c>
      <c r="J92" s="89" t="s">
        <v>157</v>
      </c>
      <c r="K92" s="89" t="s">
        <v>157</v>
      </c>
      <c r="L92" s="89" t="s">
        <v>157</v>
      </c>
      <c r="M92" s="89" t="s">
        <v>157</v>
      </c>
    </row>
    <row r="93" spans="1:13" x14ac:dyDescent="0.3">
      <c r="A93" s="89" t="s">
        <v>554</v>
      </c>
      <c r="B93" s="89" t="s">
        <v>365</v>
      </c>
      <c r="C93" s="89" t="s">
        <v>555</v>
      </c>
      <c r="D93" s="89" t="s">
        <v>157</v>
      </c>
      <c r="E93" s="89" t="s">
        <v>157</v>
      </c>
      <c r="F93" s="89" t="s">
        <v>157</v>
      </c>
      <c r="G93" s="89" t="s">
        <v>157</v>
      </c>
      <c r="H93" s="89" t="s">
        <v>157</v>
      </c>
      <c r="I93" s="89" t="s">
        <v>157</v>
      </c>
      <c r="J93" s="89" t="s">
        <v>157</v>
      </c>
      <c r="K93" s="89" t="s">
        <v>157</v>
      </c>
      <c r="L93" s="89" t="s">
        <v>157</v>
      </c>
      <c r="M93" s="89" t="s">
        <v>157</v>
      </c>
    </row>
    <row r="94" spans="1:13" x14ac:dyDescent="0.3">
      <c r="A94" s="89" t="s">
        <v>556</v>
      </c>
      <c r="B94" s="89" t="s">
        <v>557</v>
      </c>
      <c r="C94" s="89" t="s">
        <v>558</v>
      </c>
      <c r="D94" s="89" t="s">
        <v>157</v>
      </c>
      <c r="E94" s="89" t="s">
        <v>157</v>
      </c>
      <c r="F94" s="89" t="s">
        <v>157</v>
      </c>
      <c r="G94" s="89" t="s">
        <v>157</v>
      </c>
      <c r="H94" s="89" t="s">
        <v>157</v>
      </c>
      <c r="I94" s="89" t="s">
        <v>157</v>
      </c>
      <c r="J94" s="89" t="s">
        <v>157</v>
      </c>
      <c r="K94" s="89" t="s">
        <v>157</v>
      </c>
      <c r="L94" s="89" t="s">
        <v>157</v>
      </c>
      <c r="M94" s="89" t="s">
        <v>157</v>
      </c>
    </row>
    <row r="95" spans="1:13" x14ac:dyDescent="0.3">
      <c r="A95" s="89" t="s">
        <v>559</v>
      </c>
      <c r="B95" s="89" t="s">
        <v>560</v>
      </c>
      <c r="C95" s="89" t="s">
        <v>561</v>
      </c>
      <c r="D95" s="89" t="s">
        <v>157</v>
      </c>
      <c r="E95" s="89" t="s">
        <v>157</v>
      </c>
      <c r="F95" s="89" t="s">
        <v>157</v>
      </c>
      <c r="G95" s="89" t="s">
        <v>157</v>
      </c>
      <c r="H95" s="89" t="s">
        <v>157</v>
      </c>
      <c r="I95" s="89" t="s">
        <v>157</v>
      </c>
      <c r="J95" s="89" t="s">
        <v>157</v>
      </c>
      <c r="K95" s="89" t="s">
        <v>157</v>
      </c>
      <c r="L95" s="89" t="s">
        <v>157</v>
      </c>
      <c r="M95" s="89" t="s">
        <v>157</v>
      </c>
    </row>
    <row r="96" spans="1:13" x14ac:dyDescent="0.3">
      <c r="A96" s="89" t="s">
        <v>562</v>
      </c>
      <c r="B96" s="89" t="s">
        <v>563</v>
      </c>
      <c r="C96" s="89" t="s">
        <v>564</v>
      </c>
      <c r="D96" s="89" t="s">
        <v>157</v>
      </c>
      <c r="E96" s="89" t="s">
        <v>157</v>
      </c>
      <c r="F96" s="89" t="s">
        <v>157</v>
      </c>
      <c r="G96" s="89" t="s">
        <v>157</v>
      </c>
      <c r="H96" s="89" t="s">
        <v>157</v>
      </c>
      <c r="I96" s="89" t="s">
        <v>157</v>
      </c>
      <c r="J96" s="89" t="s">
        <v>157</v>
      </c>
      <c r="K96" s="89" t="s">
        <v>157</v>
      </c>
      <c r="L96" s="89" t="s">
        <v>157</v>
      </c>
      <c r="M96" s="89" t="s">
        <v>157</v>
      </c>
    </row>
    <row r="97" spans="1:13" x14ac:dyDescent="0.3">
      <c r="A97" s="89" t="s">
        <v>565</v>
      </c>
      <c r="B97" s="89" t="s">
        <v>566</v>
      </c>
      <c r="C97" s="89" t="s">
        <v>567</v>
      </c>
      <c r="D97" s="89" t="s">
        <v>157</v>
      </c>
      <c r="E97" s="89" t="s">
        <v>157</v>
      </c>
      <c r="F97" s="89" t="s">
        <v>157</v>
      </c>
      <c r="G97" s="89" t="s">
        <v>157</v>
      </c>
      <c r="H97" s="89" t="s">
        <v>157</v>
      </c>
      <c r="I97" s="89" t="s">
        <v>157</v>
      </c>
      <c r="J97" s="89" t="s">
        <v>157</v>
      </c>
      <c r="K97" s="89" t="s">
        <v>157</v>
      </c>
      <c r="L97" s="89" t="s">
        <v>157</v>
      </c>
      <c r="M97" s="89" t="s">
        <v>157</v>
      </c>
    </row>
    <row r="98" spans="1:13" x14ac:dyDescent="0.3">
      <c r="A98" s="89" t="s">
        <v>352</v>
      </c>
      <c r="B98" s="89" t="s">
        <v>353</v>
      </c>
      <c r="C98" s="89" t="s">
        <v>306</v>
      </c>
      <c r="D98" s="89" t="s">
        <v>157</v>
      </c>
      <c r="E98" s="89" t="s">
        <v>157</v>
      </c>
      <c r="F98" s="89" t="s">
        <v>157</v>
      </c>
      <c r="G98" s="89" t="s">
        <v>157</v>
      </c>
      <c r="H98" s="89" t="s">
        <v>157</v>
      </c>
      <c r="I98" s="89" t="s">
        <v>157</v>
      </c>
      <c r="J98" s="89" t="s">
        <v>157</v>
      </c>
      <c r="K98" s="89" t="s">
        <v>157</v>
      </c>
      <c r="L98" s="89" t="s">
        <v>157</v>
      </c>
      <c r="M98" s="89" t="s">
        <v>157</v>
      </c>
    </row>
    <row r="99" spans="1:13" x14ac:dyDescent="0.3">
      <c r="A99" s="89" t="s">
        <v>568</v>
      </c>
      <c r="B99" s="89" t="s">
        <v>569</v>
      </c>
      <c r="C99" s="89" t="s">
        <v>306</v>
      </c>
      <c r="D99" s="89" t="s">
        <v>157</v>
      </c>
      <c r="E99" s="89" t="s">
        <v>157</v>
      </c>
      <c r="F99" s="89" t="s">
        <v>157</v>
      </c>
      <c r="G99" s="89" t="s">
        <v>157</v>
      </c>
      <c r="H99" s="89" t="s">
        <v>157</v>
      </c>
      <c r="I99" s="89" t="s">
        <v>157</v>
      </c>
      <c r="J99" s="89" t="s">
        <v>157</v>
      </c>
      <c r="K99" s="89" t="s">
        <v>157</v>
      </c>
      <c r="L99" s="89" t="s">
        <v>157</v>
      </c>
      <c r="M99" s="89" t="s">
        <v>157</v>
      </c>
    </row>
    <row r="100" spans="1:13" x14ac:dyDescent="0.3">
      <c r="A100" s="89" t="s">
        <v>354</v>
      </c>
      <c r="B100" s="89" t="s">
        <v>355</v>
      </c>
      <c r="C100" s="89" t="s">
        <v>307</v>
      </c>
      <c r="D100" s="89" t="s">
        <v>157</v>
      </c>
      <c r="E100" s="89" t="s">
        <v>157</v>
      </c>
      <c r="F100" s="89" t="s">
        <v>157</v>
      </c>
      <c r="G100" s="89" t="s">
        <v>157</v>
      </c>
      <c r="H100" s="89" t="s">
        <v>157</v>
      </c>
      <c r="I100" s="89" t="s">
        <v>157</v>
      </c>
      <c r="J100" s="89" t="s">
        <v>157</v>
      </c>
      <c r="K100" s="89" t="s">
        <v>157</v>
      </c>
      <c r="L100" s="89" t="s">
        <v>157</v>
      </c>
      <c r="M100" s="89" t="s">
        <v>157</v>
      </c>
    </row>
    <row r="101" spans="1:13" x14ac:dyDescent="0.3">
      <c r="A101" s="89" t="s">
        <v>570</v>
      </c>
      <c r="B101" s="89" t="s">
        <v>571</v>
      </c>
      <c r="C101" s="89" t="s">
        <v>307</v>
      </c>
      <c r="D101" s="89" t="s">
        <v>157</v>
      </c>
      <c r="E101" s="89" t="s">
        <v>157</v>
      </c>
      <c r="F101" s="89" t="s">
        <v>157</v>
      </c>
      <c r="G101" s="89" t="s">
        <v>157</v>
      </c>
      <c r="H101" s="89" t="s">
        <v>157</v>
      </c>
      <c r="I101" s="89" t="s">
        <v>157</v>
      </c>
      <c r="J101" s="89" t="s">
        <v>157</v>
      </c>
      <c r="K101" s="89" t="s">
        <v>157</v>
      </c>
      <c r="L101" s="89" t="s">
        <v>157</v>
      </c>
      <c r="M101" s="89" t="s">
        <v>157</v>
      </c>
    </row>
    <row r="102" spans="1:13" x14ac:dyDescent="0.3">
      <c r="A102" s="89" t="s">
        <v>356</v>
      </c>
      <c r="B102" s="89" t="s">
        <v>357</v>
      </c>
      <c r="C102" s="89" t="s">
        <v>158</v>
      </c>
      <c r="D102" s="89" t="s">
        <v>157</v>
      </c>
      <c r="E102" s="89" t="s">
        <v>157</v>
      </c>
      <c r="F102" s="89" t="s">
        <v>157</v>
      </c>
      <c r="G102" s="89" t="s">
        <v>157</v>
      </c>
      <c r="H102" s="89" t="s">
        <v>157</v>
      </c>
      <c r="I102" s="89" t="s">
        <v>157</v>
      </c>
      <c r="J102" s="89" t="s">
        <v>157</v>
      </c>
      <c r="K102" s="89" t="s">
        <v>157</v>
      </c>
      <c r="L102" s="89" t="s">
        <v>157</v>
      </c>
      <c r="M102" s="89" t="s">
        <v>157</v>
      </c>
    </row>
    <row r="103" spans="1:13" x14ac:dyDescent="0.3">
      <c r="A103" s="89" t="s">
        <v>358</v>
      </c>
      <c r="B103" s="89" t="s">
        <v>359</v>
      </c>
      <c r="C103" s="89" t="s">
        <v>318</v>
      </c>
      <c r="D103" s="89" t="s">
        <v>157</v>
      </c>
      <c r="E103" s="89" t="s">
        <v>157</v>
      </c>
      <c r="F103" s="89" t="s">
        <v>157</v>
      </c>
      <c r="G103" s="89" t="s">
        <v>157</v>
      </c>
      <c r="H103" s="89" t="s">
        <v>157</v>
      </c>
      <c r="I103" s="89" t="s">
        <v>157</v>
      </c>
      <c r="J103" s="89" t="s">
        <v>157</v>
      </c>
      <c r="K103" s="89" t="s">
        <v>157</v>
      </c>
      <c r="L103" s="89" t="s">
        <v>157</v>
      </c>
      <c r="M103" s="89" t="s">
        <v>157</v>
      </c>
    </row>
    <row r="104" spans="1:13" x14ac:dyDescent="0.3">
      <c r="A104" s="89" t="s">
        <v>366</v>
      </c>
      <c r="B104" s="89" t="s">
        <v>367</v>
      </c>
      <c r="C104" s="89" t="s">
        <v>19</v>
      </c>
      <c r="D104" s="89" t="s">
        <v>157</v>
      </c>
      <c r="E104" s="89" t="s">
        <v>157</v>
      </c>
      <c r="F104" s="89" t="s">
        <v>157</v>
      </c>
      <c r="G104" s="89" t="s">
        <v>157</v>
      </c>
      <c r="H104" s="89" t="s">
        <v>157</v>
      </c>
      <c r="I104" s="89" t="s">
        <v>157</v>
      </c>
      <c r="J104" s="89" t="s">
        <v>157</v>
      </c>
      <c r="K104" s="89" t="s">
        <v>157</v>
      </c>
      <c r="L104" s="89" t="s">
        <v>157</v>
      </c>
      <c r="M104" s="89" t="s">
        <v>157</v>
      </c>
    </row>
    <row r="105" spans="1:13" x14ac:dyDescent="0.3">
      <c r="A105" s="89" t="s">
        <v>572</v>
      </c>
      <c r="B105" s="89" t="s">
        <v>573</v>
      </c>
      <c r="C105" s="89" t="s">
        <v>19</v>
      </c>
      <c r="D105" s="89" t="s">
        <v>157</v>
      </c>
      <c r="E105" s="89" t="s">
        <v>157</v>
      </c>
      <c r="F105" s="89" t="s">
        <v>157</v>
      </c>
      <c r="G105" s="89" t="s">
        <v>157</v>
      </c>
      <c r="H105" s="89" t="s">
        <v>157</v>
      </c>
      <c r="I105" s="89" t="s">
        <v>157</v>
      </c>
      <c r="J105" s="89" t="s">
        <v>157</v>
      </c>
      <c r="K105" s="89" t="s">
        <v>157</v>
      </c>
      <c r="L105" s="89" t="s">
        <v>157</v>
      </c>
      <c r="M105" s="89" t="s">
        <v>157</v>
      </c>
    </row>
    <row r="106" spans="1:13" x14ac:dyDescent="0.3">
      <c r="A106" s="89" t="s">
        <v>574</v>
      </c>
      <c r="B106" s="89" t="s">
        <v>135</v>
      </c>
      <c r="C106" s="89" t="s">
        <v>575</v>
      </c>
      <c r="D106" s="89" t="s">
        <v>157</v>
      </c>
      <c r="E106" s="89" t="s">
        <v>157</v>
      </c>
      <c r="F106" s="89" t="s">
        <v>157</v>
      </c>
      <c r="G106" s="89" t="s">
        <v>157</v>
      </c>
      <c r="H106" s="89" t="s">
        <v>157</v>
      </c>
      <c r="I106" s="89" t="s">
        <v>157</v>
      </c>
      <c r="J106" s="89" t="s">
        <v>157</v>
      </c>
      <c r="K106" s="89" t="s">
        <v>157</v>
      </c>
      <c r="L106" s="89" t="s">
        <v>157</v>
      </c>
      <c r="M106" s="89" t="s">
        <v>157</v>
      </c>
    </row>
    <row r="107" spans="1:13" x14ac:dyDescent="0.3">
      <c r="A107" s="89" t="s">
        <v>576</v>
      </c>
      <c r="B107" s="89" t="s">
        <v>137</v>
      </c>
      <c r="C107" s="89" t="s">
        <v>577</v>
      </c>
      <c r="D107" s="89" t="s">
        <v>157</v>
      </c>
      <c r="E107" s="89" t="s">
        <v>157</v>
      </c>
      <c r="F107" s="89" t="s">
        <v>157</v>
      </c>
      <c r="G107" s="89" t="s">
        <v>157</v>
      </c>
      <c r="H107" s="89" t="s">
        <v>157</v>
      </c>
      <c r="I107" s="89" t="s">
        <v>157</v>
      </c>
      <c r="J107" s="89" t="s">
        <v>157</v>
      </c>
      <c r="K107" s="89" t="s">
        <v>157</v>
      </c>
      <c r="L107" s="89" t="s">
        <v>157</v>
      </c>
      <c r="M107" s="89" t="s">
        <v>157</v>
      </c>
    </row>
    <row r="108" spans="1:13" x14ac:dyDescent="0.3">
      <c r="A108" s="89" t="s">
        <v>578</v>
      </c>
      <c r="B108" s="89" t="s">
        <v>138</v>
      </c>
      <c r="C108" s="89" t="s">
        <v>579</v>
      </c>
      <c r="D108" s="89" t="s">
        <v>157</v>
      </c>
      <c r="E108" s="89" t="s">
        <v>157</v>
      </c>
      <c r="F108" s="89" t="s">
        <v>157</v>
      </c>
      <c r="G108" s="89" t="s">
        <v>157</v>
      </c>
      <c r="H108" s="89" t="s">
        <v>157</v>
      </c>
      <c r="I108" s="89" t="s">
        <v>157</v>
      </c>
      <c r="J108" s="89" t="s">
        <v>157</v>
      </c>
      <c r="K108" s="89" t="s">
        <v>157</v>
      </c>
      <c r="L108" s="89" t="s">
        <v>157</v>
      </c>
      <c r="M108" s="89" t="s">
        <v>157</v>
      </c>
    </row>
    <row r="109" spans="1:13" x14ac:dyDescent="0.3">
      <c r="A109" s="89" t="s">
        <v>580</v>
      </c>
      <c r="B109" s="89" t="s">
        <v>581</v>
      </c>
      <c r="C109" s="89" t="s">
        <v>582</v>
      </c>
      <c r="D109" s="89" t="s">
        <v>157</v>
      </c>
      <c r="E109" s="89" t="s">
        <v>157</v>
      </c>
      <c r="F109" s="89" t="s">
        <v>157</v>
      </c>
      <c r="G109" s="89" t="s">
        <v>157</v>
      </c>
      <c r="H109" s="89" t="s">
        <v>157</v>
      </c>
      <c r="I109" s="89" t="s">
        <v>157</v>
      </c>
      <c r="J109" s="89" t="s">
        <v>157</v>
      </c>
      <c r="K109" s="89" t="s">
        <v>157</v>
      </c>
      <c r="L109" s="89" t="s">
        <v>157</v>
      </c>
      <c r="M109" s="89" t="s">
        <v>157</v>
      </c>
    </row>
    <row r="110" spans="1:13" x14ac:dyDescent="0.3">
      <c r="A110" s="89" t="s">
        <v>3</v>
      </c>
      <c r="B110" s="89" t="s">
        <v>122</v>
      </c>
      <c r="C110" s="89" t="s">
        <v>12</v>
      </c>
      <c r="D110" s="89" t="s">
        <v>157</v>
      </c>
      <c r="E110" s="89" t="s">
        <v>157</v>
      </c>
      <c r="F110" s="89" t="s">
        <v>157</v>
      </c>
      <c r="G110" s="89" t="s">
        <v>157</v>
      </c>
      <c r="H110" s="89" t="s">
        <v>157</v>
      </c>
      <c r="I110" s="89" t="s">
        <v>157</v>
      </c>
      <c r="J110" s="89" t="s">
        <v>157</v>
      </c>
      <c r="K110" s="89" t="s">
        <v>157</v>
      </c>
      <c r="L110" s="89" t="s">
        <v>157</v>
      </c>
      <c r="M110" s="89" t="s">
        <v>157</v>
      </c>
    </row>
    <row r="111" spans="1:13" x14ac:dyDescent="0.3">
      <c r="A111" s="89" t="s">
        <v>256</v>
      </c>
      <c r="B111" s="89" t="s">
        <v>123</v>
      </c>
      <c r="C111" s="89" t="s">
        <v>257</v>
      </c>
      <c r="D111" s="89" t="s">
        <v>157</v>
      </c>
      <c r="E111" s="89" t="s">
        <v>157</v>
      </c>
      <c r="F111" s="89" t="s">
        <v>157</v>
      </c>
      <c r="G111" s="89" t="s">
        <v>157</v>
      </c>
      <c r="H111" s="89" t="s">
        <v>157</v>
      </c>
      <c r="I111" s="89" t="s">
        <v>157</v>
      </c>
      <c r="J111" s="89" t="s">
        <v>157</v>
      </c>
      <c r="K111" s="89" t="s">
        <v>157</v>
      </c>
      <c r="L111" s="89" t="s">
        <v>157</v>
      </c>
      <c r="M111" s="89" t="s">
        <v>157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dimension ref="A1:C2"/>
  <sheetViews>
    <sheetView workbookViewId="0">
      <selection activeCell="H17" sqref="H17"/>
    </sheetView>
  </sheetViews>
  <sheetFormatPr defaultRowHeight="14.4" x14ac:dyDescent="0.3"/>
  <cols>
    <col min="1" max="1" width="9" bestFit="1" customWidth="1"/>
    <col min="2" max="2" width="7.109375" bestFit="1" customWidth="1"/>
    <col min="3" max="3" width="19.77734375" bestFit="1" customWidth="1"/>
  </cols>
  <sheetData>
    <row r="1" spans="1:3" x14ac:dyDescent="0.3">
      <c r="A1" t="s">
        <v>223</v>
      </c>
      <c r="B1" t="s">
        <v>221</v>
      </c>
      <c r="C1" t="s">
        <v>224</v>
      </c>
    </row>
    <row r="2" spans="1:3" x14ac:dyDescent="0.3">
      <c r="A2" s="1"/>
      <c r="B2" s="8"/>
      <c r="C2" s="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P15"/>
  <sheetViews>
    <sheetView workbookViewId="0">
      <selection activeCell="F2" sqref="F2"/>
    </sheetView>
  </sheetViews>
  <sheetFormatPr defaultRowHeight="14.4" x14ac:dyDescent="0.3"/>
  <cols>
    <col min="1" max="1" width="49.21875" bestFit="1" customWidth="1"/>
  </cols>
  <sheetData>
    <row r="1" spans="1:16" x14ac:dyDescent="0.3">
      <c r="A1" s="3" t="str">
        <f>Main!A1</f>
        <v>Department of Civil Engineering (ver.28)</v>
      </c>
      <c r="L1">
        <f t="shared" ref="L1:L9" si="0">L2+5</f>
        <v>99.990000000000009</v>
      </c>
      <c r="M1">
        <v>100</v>
      </c>
    </row>
    <row r="2" spans="1:16" x14ac:dyDescent="0.3">
      <c r="A2" s="3" t="str">
        <f>Main!A2</f>
        <v>University of Engineering and Technology, Peshawar, Pakistan</v>
      </c>
      <c r="L2">
        <f t="shared" si="0"/>
        <v>94.990000000000009</v>
      </c>
      <c r="M2">
        <f>M1-4</f>
        <v>96</v>
      </c>
      <c r="N2" t="s">
        <v>241</v>
      </c>
      <c r="O2">
        <v>4</v>
      </c>
      <c r="P2" t="str">
        <f>M2&amp;"-"&amp;M1</f>
        <v>96-100</v>
      </c>
    </row>
    <row r="3" spans="1:16" x14ac:dyDescent="0.3">
      <c r="A3" s="3" t="str">
        <f>Main!C4 &amp; " " &amp; Main!C5</f>
        <v>CE-117 Engineering Mechanics</v>
      </c>
      <c r="L3">
        <f t="shared" si="0"/>
        <v>89.990000000000009</v>
      </c>
      <c r="M3">
        <f>M2-5</f>
        <v>91</v>
      </c>
      <c r="N3" t="s">
        <v>243</v>
      </c>
      <c r="O3">
        <v>3.67</v>
      </c>
      <c r="P3" t="str">
        <f>M3&amp;"-"&amp;M2-1</f>
        <v>91-95</v>
      </c>
    </row>
    <row r="4" spans="1:16" x14ac:dyDescent="0.3">
      <c r="A4" s="3" t="str">
        <f>Main!C6 &amp; " semester, "&amp;Main!C7 &amp; "-" &amp;Main!C8 &amp; ", "&amp;Main!C3</f>
        <v>5th semester, Fall-2019, Batch Civil-2018</v>
      </c>
      <c r="L4">
        <f t="shared" si="0"/>
        <v>84.990000000000009</v>
      </c>
      <c r="M4">
        <f t="shared" ref="M4:M10" si="1">M3-5</f>
        <v>86</v>
      </c>
      <c r="N4" t="s">
        <v>244</v>
      </c>
      <c r="O4">
        <v>3.33</v>
      </c>
      <c r="P4" t="str">
        <f t="shared" ref="P4:P12" si="2">M4&amp;"-"&amp;M3-1</f>
        <v>86-90</v>
      </c>
    </row>
    <row r="5" spans="1:16" x14ac:dyDescent="0.3">
      <c r="A5" s="3" t="str">
        <f>"Teachers: " &amp;Main!C9 &amp; IF(Main!C10&lt;&gt;"",", " &amp;Main!C10,"") &amp; IF(Main!C11&lt;&gt;"",", " &amp;Main!C11,"")</f>
        <v>Teachers: Dr. Qazi Samiullah</v>
      </c>
      <c r="L5">
        <f t="shared" si="0"/>
        <v>79.990000000000009</v>
      </c>
      <c r="M5">
        <f t="shared" si="1"/>
        <v>81</v>
      </c>
      <c r="N5" t="s">
        <v>240</v>
      </c>
      <c r="O5">
        <v>3</v>
      </c>
      <c r="P5" t="str">
        <f t="shared" si="2"/>
        <v>81-85</v>
      </c>
    </row>
    <row r="6" spans="1:16" x14ac:dyDescent="0.3">
      <c r="A6" s="3" t="str">
        <f ca="1">"Date: " &amp; DAY(NOW()) &amp; "/" &amp; MONTH(NOW()) &amp; "/" &amp; YEAR(NOW())</f>
        <v>Date: 27/3/2022</v>
      </c>
      <c r="L6">
        <f t="shared" si="0"/>
        <v>74.990000000000009</v>
      </c>
      <c r="M6">
        <f t="shared" si="1"/>
        <v>76</v>
      </c>
      <c r="N6" t="s">
        <v>245</v>
      </c>
      <c r="O6">
        <v>2.67</v>
      </c>
      <c r="P6" t="str">
        <f t="shared" si="2"/>
        <v>76-80</v>
      </c>
    </row>
    <row r="7" spans="1:16" x14ac:dyDescent="0.3">
      <c r="A7" s="6" t="s">
        <v>214</v>
      </c>
      <c r="B7" s="6"/>
      <c r="L7">
        <f t="shared" si="0"/>
        <v>69.990000000000009</v>
      </c>
      <c r="M7">
        <f t="shared" si="1"/>
        <v>71</v>
      </c>
      <c r="N7" t="s">
        <v>246</v>
      </c>
      <c r="O7">
        <v>2.33</v>
      </c>
      <c r="P7" t="str">
        <f t="shared" si="2"/>
        <v>71-75</v>
      </c>
    </row>
    <row r="8" spans="1:16" x14ac:dyDescent="0.3">
      <c r="A8" s="6" t="s">
        <v>215</v>
      </c>
      <c r="B8" s="6"/>
      <c r="L8">
        <f t="shared" si="0"/>
        <v>64.990000000000009</v>
      </c>
      <c r="M8">
        <f t="shared" si="1"/>
        <v>66</v>
      </c>
      <c r="N8" t="s">
        <v>119</v>
      </c>
      <c r="O8">
        <v>2</v>
      </c>
      <c r="P8" t="str">
        <f t="shared" si="2"/>
        <v>66-70</v>
      </c>
    </row>
    <row r="9" spans="1:16" x14ac:dyDescent="0.3">
      <c r="A9" s="6" t="s">
        <v>216</v>
      </c>
      <c r="B9" s="6"/>
      <c r="L9">
        <f t="shared" si="0"/>
        <v>59.99</v>
      </c>
      <c r="M9">
        <f t="shared" si="1"/>
        <v>61</v>
      </c>
      <c r="N9" t="s">
        <v>247</v>
      </c>
      <c r="O9">
        <v>1.67</v>
      </c>
      <c r="P9" t="str">
        <f t="shared" si="2"/>
        <v>61-65</v>
      </c>
    </row>
    <row r="10" spans="1:16" x14ac:dyDescent="0.3">
      <c r="A10" s="6" t="s">
        <v>217</v>
      </c>
      <c r="B10" s="6"/>
      <c r="L10">
        <f>L11+5</f>
        <v>54.99</v>
      </c>
      <c r="M10">
        <f t="shared" si="1"/>
        <v>56</v>
      </c>
      <c r="N10" t="s">
        <v>248</v>
      </c>
      <c r="O10">
        <v>1.33</v>
      </c>
      <c r="P10" t="str">
        <f t="shared" si="2"/>
        <v>56-60</v>
      </c>
    </row>
    <row r="11" spans="1:16" x14ac:dyDescent="0.3">
      <c r="A11" s="6" t="s">
        <v>218</v>
      </c>
      <c r="B11" s="6"/>
      <c r="L11">
        <v>49.99</v>
      </c>
      <c r="M11">
        <v>50</v>
      </c>
      <c r="N11" t="s">
        <v>249</v>
      </c>
      <c r="O11">
        <v>1</v>
      </c>
      <c r="P11" t="str">
        <f t="shared" si="2"/>
        <v>50-55</v>
      </c>
    </row>
    <row r="12" spans="1:16" x14ac:dyDescent="0.3">
      <c r="A12" s="6" t="s">
        <v>175</v>
      </c>
      <c r="B12" s="6"/>
      <c r="L12">
        <v>0</v>
      </c>
      <c r="M12">
        <v>0</v>
      </c>
      <c r="N12" t="s">
        <v>250</v>
      </c>
      <c r="O12">
        <v>0</v>
      </c>
      <c r="P12" t="str">
        <f t="shared" si="2"/>
        <v>0-49</v>
      </c>
    </row>
    <row r="13" spans="1:16" x14ac:dyDescent="0.3">
      <c r="A13" s="6" t="s">
        <v>219</v>
      </c>
      <c r="B13" s="7" t="s">
        <v>188</v>
      </c>
      <c r="L13" t="s">
        <v>583</v>
      </c>
      <c r="M13" t="s">
        <v>584</v>
      </c>
    </row>
    <row r="15" spans="1:16" x14ac:dyDescent="0.3">
      <c r="A15" s="6" t="s">
        <v>226</v>
      </c>
      <c r="B15" s="3" t="s">
        <v>227</v>
      </c>
      <c r="C15" s="6" t="s">
        <v>228</v>
      </c>
      <c r="D15" s="3" t="s">
        <v>229</v>
      </c>
      <c r="E15" s="6" t="s">
        <v>230</v>
      </c>
      <c r="F15" s="3" t="s">
        <v>231</v>
      </c>
      <c r="G15" s="6" t="s">
        <v>232</v>
      </c>
      <c r="H15" s="3" t="s">
        <v>233</v>
      </c>
      <c r="I15" s="6" t="s">
        <v>234</v>
      </c>
      <c r="J15" s="3" t="s">
        <v>235</v>
      </c>
      <c r="K15" s="6" t="s">
        <v>236</v>
      </c>
      <c r="L15" s="3" t="s">
        <v>237</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Main!$B$16:$B$20</xm:f>
          </x14:formula1>
          <xm:sqref>D10:K10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226C80-F910-4E2D-BE23-0DDA782F87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26</vt:i4>
      </vt:variant>
    </vt:vector>
  </HeadingPairs>
  <TitlesOfParts>
    <vt:vector size="39" baseType="lpstr">
      <vt:lpstr>Main</vt:lpstr>
      <vt:lpstr>update</vt:lpstr>
      <vt:lpstr>LICENSE</vt:lpstr>
      <vt:lpstr>CAReport</vt:lpstr>
      <vt:lpstr>CETF7</vt:lpstr>
      <vt:lpstr>RCharts</vt:lpstr>
      <vt:lpstr>DatabaseSetup</vt:lpstr>
      <vt:lpstr>CLOPLOs</vt:lpstr>
      <vt:lpstr>BatchData</vt:lpstr>
      <vt:lpstr>BatchList</vt:lpstr>
      <vt:lpstr>CoursesFaculty</vt:lpstr>
      <vt:lpstr>CM</vt:lpstr>
      <vt:lpstr>template</vt:lpstr>
      <vt:lpstr>Main!Criteria</vt:lpstr>
      <vt:lpstr>Main!Extract</vt:lpstr>
      <vt:lpstr>LICENSE!howto</vt:lpstr>
      <vt:lpstr>CAReport!Print_Area</vt:lpstr>
      <vt:lpstr>CETF7!Print_Area</vt:lpstr>
      <vt:lpstr>CAReport!Print_Titles</vt:lpstr>
      <vt:lpstr>CETF7!Print_Titles</vt:lpstr>
      <vt:lpstr>LICENSE!section0</vt:lpstr>
      <vt:lpstr>LICENSE!section1</vt:lpstr>
      <vt:lpstr>LICENSE!section10</vt:lpstr>
      <vt:lpstr>LICENSE!section11</vt:lpstr>
      <vt:lpstr>LICENSE!section12</vt:lpstr>
      <vt:lpstr>LICENSE!section13</vt:lpstr>
      <vt:lpstr>LICENSE!section14</vt:lpstr>
      <vt:lpstr>LICENSE!section15</vt:lpstr>
      <vt:lpstr>LICENSE!section16</vt:lpstr>
      <vt:lpstr>LICENSE!section17</vt:lpstr>
      <vt:lpstr>LICENSE!section2</vt:lpstr>
      <vt:lpstr>LICENSE!section3</vt:lpstr>
      <vt:lpstr>LICENSE!section4</vt:lpstr>
      <vt:lpstr>LICENSE!section5</vt:lpstr>
      <vt:lpstr>LICENSE!section6</vt:lpstr>
      <vt:lpstr>LICENSE!section7</vt:lpstr>
      <vt:lpstr>LICENSE!section8</vt:lpstr>
      <vt:lpstr>LICENSE!section9</vt:lpstr>
      <vt:lpstr>LICENSE!terms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Adil</dc:creator>
  <cp:lastModifiedBy>Muhammad Adil</cp:lastModifiedBy>
  <cp:lastPrinted>2019-11-07T17:45:23Z</cp:lastPrinted>
  <dcterms:created xsi:type="dcterms:W3CDTF">2019-01-18T06:16:48Z</dcterms:created>
  <dcterms:modified xsi:type="dcterms:W3CDTF">2022-03-27T23:59:28Z</dcterms:modified>
</cp:coreProperties>
</file>